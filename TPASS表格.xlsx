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運籌\115\"/>
    </mc:Choice>
  </mc:AlternateContent>
  <xr:revisionPtr revIDLastSave="0" documentId="13_ncr:1_{BF9F10DF-0638-4BEE-93D9-F2096D326231}" xr6:coauthVersionLast="47" xr6:coauthVersionMax="47" xr10:uidLastSave="{00000000-0000-0000-0000-000000000000}"/>
  <bookViews>
    <workbookView xWindow="-28920" yWindow="-120" windowWidth="29040" windowHeight="16440" firstSheet="24" activeTab="25" xr2:uid="{00000000-000D-0000-FFFF-FFFF00000000}"/>
  </bookViews>
  <sheets>
    <sheet name="花蓮縣TPASS年占比" sheetId="1" r:id="rId1"/>
    <sheet name="臺東縣TPASS年占比" sheetId="2" r:id="rId2"/>
    <sheet name="花蓮縣TPASS月占比" sheetId="3" r:id="rId3"/>
    <sheet name="臺東縣TPASS月占比" sheetId="4" r:id="rId4"/>
    <sheet name="花蓮縣市區客運TPASS年占比" sheetId="5" r:id="rId5"/>
    <sheet name="臺東縣市區客運TPASS年占比" sheetId="6" r:id="rId6"/>
    <sheet name="花蓮縣市區客運TPASS月占比" sheetId="7" r:id="rId7"/>
    <sheet name="臺東縣市區客運TPASS月占比" sheetId="8" r:id="rId8"/>
    <sheet name="花蓮縣公路客運TPASS年占比" sheetId="9" r:id="rId9"/>
    <sheet name="臺東縣公路客運TPASS年占比" sheetId="10" r:id="rId10"/>
    <sheet name="花蓮縣公路客運TPASS月占比" sheetId="11" r:id="rId11"/>
    <sheet name="臺東縣公路客運TPASS月占比" sheetId="12" r:id="rId12"/>
    <sheet name="市區客運各種TPASS成長率" sheetId="13" r:id="rId13"/>
    <sheet name="公路客運各種TPASS成長率" sheetId="14" r:id="rId14"/>
    <sheet name="花蓮縣市區客運平均搭乘里程" sheetId="15" r:id="rId15"/>
    <sheet name="臺東縣市區客運平均搭乘里程" sheetId="16" r:id="rId16"/>
    <sheet name="花蓮縣公路客運平均搭乘里程" sheetId="17" r:id="rId17"/>
    <sheet name="臺東縣公路客運平均搭乘里程" sheetId="18" r:id="rId18"/>
    <sheet name="花蓮縣市區客運乘客各搭乘次數區間月人數變化表" sheetId="19" r:id="rId19"/>
    <sheet name="花蓮縣市區客運TPASS乘客各搭乘次數區間月人數變化表" sheetId="21" r:id="rId20"/>
    <sheet name="臺東縣市區客運乘客各搭乘次數區間月人數變化表" sheetId="20" r:id="rId21"/>
    <sheet name="臺東縣市區客運TPASS乘客各搭乘次數區間月人數變化表" sheetId="23" r:id="rId22"/>
    <sheet name="花蓮縣公路客運乘客各搭乘次數區間月人數變化表" sheetId="22" r:id="rId23"/>
    <sheet name="花蓮縣公路客運TPASS乘客各搭乘次數區間月人數變化表" sheetId="24" r:id="rId24"/>
    <sheet name="臺東縣公路客運乘客各搭乘次數區間月人數變化表" sheetId="25" r:id="rId25"/>
    <sheet name="臺東縣公路客運TPASS乘客各搭乘次數區間月人數變化表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4" l="1"/>
  <c r="I20" i="26"/>
  <c r="G20" i="26" s="1"/>
  <c r="I19" i="26"/>
  <c r="G19" i="26" s="1"/>
  <c r="I18" i="26"/>
  <c r="G18" i="26" s="1"/>
  <c r="I17" i="26"/>
  <c r="G17" i="26" s="1"/>
  <c r="E17" i="26"/>
  <c r="I16" i="26"/>
  <c r="G16" i="26" s="1"/>
  <c r="I15" i="26"/>
  <c r="C15" i="26" s="1"/>
  <c r="I14" i="26"/>
  <c r="G14" i="26" s="1"/>
  <c r="I13" i="26"/>
  <c r="G13" i="26" s="1"/>
  <c r="I12" i="26"/>
  <c r="C12" i="26" s="1"/>
  <c r="I11" i="26"/>
  <c r="C11" i="26" s="1"/>
  <c r="I10" i="26"/>
  <c r="G10" i="26" s="1"/>
  <c r="I9" i="26"/>
  <c r="E9" i="26" s="1"/>
  <c r="C9" i="26"/>
  <c r="I8" i="26"/>
  <c r="G8" i="26" s="1"/>
  <c r="I7" i="26"/>
  <c r="G7" i="26" s="1"/>
  <c r="I6" i="26"/>
  <c r="E6" i="26" s="1"/>
  <c r="I5" i="26"/>
  <c r="G5" i="26" s="1"/>
  <c r="I4" i="26"/>
  <c r="E4" i="26" s="1"/>
  <c r="I3" i="26"/>
  <c r="C3" i="26" s="1"/>
  <c r="I2" i="26"/>
  <c r="G2" i="26" s="1"/>
  <c r="I20" i="25"/>
  <c r="G20" i="25" s="1"/>
  <c r="I19" i="25"/>
  <c r="G19" i="25" s="1"/>
  <c r="I18" i="25"/>
  <c r="G18" i="25" s="1"/>
  <c r="I17" i="25"/>
  <c r="G17" i="25" s="1"/>
  <c r="I16" i="25"/>
  <c r="E16" i="25" s="1"/>
  <c r="I15" i="25"/>
  <c r="G15" i="25" s="1"/>
  <c r="I14" i="25"/>
  <c r="G14" i="25" s="1"/>
  <c r="I13" i="25"/>
  <c r="G13" i="25" s="1"/>
  <c r="I12" i="25"/>
  <c r="G12" i="25" s="1"/>
  <c r="I11" i="25"/>
  <c r="C11" i="25" s="1"/>
  <c r="I10" i="25"/>
  <c r="E10" i="25" s="1"/>
  <c r="I9" i="25"/>
  <c r="G9" i="25" s="1"/>
  <c r="I8" i="25"/>
  <c r="G8" i="25" s="1"/>
  <c r="I7" i="25"/>
  <c r="G7" i="25" s="1"/>
  <c r="I6" i="25"/>
  <c r="G6" i="25" s="1"/>
  <c r="I5" i="25"/>
  <c r="G5" i="25" s="1"/>
  <c r="I4" i="25"/>
  <c r="G4" i="25" s="1"/>
  <c r="I3" i="25"/>
  <c r="G3" i="25" s="1"/>
  <c r="I2" i="25"/>
  <c r="G2" i="25" s="1"/>
  <c r="I20" i="24"/>
  <c r="G20" i="24" s="1"/>
  <c r="I19" i="24"/>
  <c r="G19" i="24" s="1"/>
  <c r="I18" i="24"/>
  <c r="C18" i="24" s="1"/>
  <c r="I17" i="24"/>
  <c r="G17" i="24" s="1"/>
  <c r="I16" i="24"/>
  <c r="G16" i="24" s="1"/>
  <c r="I15" i="24"/>
  <c r="C15" i="24" s="1"/>
  <c r="I14" i="24"/>
  <c r="C14" i="24" s="1"/>
  <c r="I13" i="24"/>
  <c r="E13" i="24" s="1"/>
  <c r="I12" i="24"/>
  <c r="E12" i="24" s="1"/>
  <c r="I11" i="24"/>
  <c r="G11" i="24" s="1"/>
  <c r="I10" i="24"/>
  <c r="G10" i="24" s="1"/>
  <c r="I9" i="24"/>
  <c r="E9" i="24" s="1"/>
  <c r="I8" i="24"/>
  <c r="G8" i="24" s="1"/>
  <c r="I7" i="24"/>
  <c r="I6" i="24"/>
  <c r="C6" i="24" s="1"/>
  <c r="I5" i="24"/>
  <c r="G5" i="24" s="1"/>
  <c r="I4" i="24"/>
  <c r="G4" i="24" s="1"/>
  <c r="I3" i="24"/>
  <c r="C3" i="24" s="1"/>
  <c r="I2" i="24"/>
  <c r="C2" i="24" s="1"/>
  <c r="I20" i="22"/>
  <c r="G20" i="22" s="1"/>
  <c r="I19" i="22"/>
  <c r="E19" i="22" s="1"/>
  <c r="I18" i="22"/>
  <c r="G18" i="22" s="1"/>
  <c r="I17" i="22"/>
  <c r="E17" i="22" s="1"/>
  <c r="I16" i="22"/>
  <c r="C16" i="22" s="1"/>
  <c r="I15" i="22"/>
  <c r="G15" i="22" s="1"/>
  <c r="I14" i="22"/>
  <c r="G14" i="22" s="1"/>
  <c r="I13" i="22"/>
  <c r="E13" i="22" s="1"/>
  <c r="I12" i="22"/>
  <c r="G12" i="22" s="1"/>
  <c r="I11" i="22"/>
  <c r="E11" i="22" s="1"/>
  <c r="I10" i="22"/>
  <c r="G10" i="22" s="1"/>
  <c r="I9" i="22"/>
  <c r="G9" i="22" s="1"/>
  <c r="I8" i="22"/>
  <c r="G8" i="22" s="1"/>
  <c r="I7" i="22"/>
  <c r="E7" i="22" s="1"/>
  <c r="I6" i="22"/>
  <c r="G6" i="22" s="1"/>
  <c r="I5" i="22"/>
  <c r="G5" i="22" s="1"/>
  <c r="I4" i="22"/>
  <c r="C4" i="22" s="1"/>
  <c r="I3" i="22"/>
  <c r="E3" i="22" s="1"/>
  <c r="I2" i="22"/>
  <c r="G2" i="22" s="1"/>
  <c r="I2" i="23"/>
  <c r="G2" i="23" s="1"/>
  <c r="I2" i="20"/>
  <c r="G2" i="20" s="1"/>
  <c r="I2" i="19"/>
  <c r="G2" i="19" s="1"/>
  <c r="I2" i="21"/>
  <c r="C2" i="21" s="1"/>
  <c r="I20" i="23"/>
  <c r="G20" i="23" s="1"/>
  <c r="I19" i="23"/>
  <c r="E19" i="23" s="1"/>
  <c r="I18" i="23"/>
  <c r="G18" i="23" s="1"/>
  <c r="I17" i="23"/>
  <c r="E17" i="23" s="1"/>
  <c r="I16" i="23"/>
  <c r="C16" i="23" s="1"/>
  <c r="I15" i="23"/>
  <c r="G15" i="23" s="1"/>
  <c r="I14" i="23"/>
  <c r="G14" i="23" s="1"/>
  <c r="I13" i="23"/>
  <c r="G13" i="23" s="1"/>
  <c r="I12" i="23"/>
  <c r="G12" i="23" s="1"/>
  <c r="I11" i="23"/>
  <c r="E11" i="23" s="1"/>
  <c r="I10" i="23"/>
  <c r="C10" i="23" s="1"/>
  <c r="I9" i="23"/>
  <c r="G9" i="23" s="1"/>
  <c r="I8" i="23"/>
  <c r="G8" i="23" s="1"/>
  <c r="I7" i="23"/>
  <c r="G7" i="23" s="1"/>
  <c r="I6" i="23"/>
  <c r="G6" i="23" s="1"/>
  <c r="I5" i="23"/>
  <c r="E5" i="23" s="1"/>
  <c r="I4" i="23"/>
  <c r="C4" i="23" s="1"/>
  <c r="I3" i="23"/>
  <c r="E3" i="23" s="1"/>
  <c r="I20" i="20"/>
  <c r="G20" i="20" s="1"/>
  <c r="I19" i="20"/>
  <c r="G19" i="20" s="1"/>
  <c r="I18" i="20"/>
  <c r="G18" i="20" s="1"/>
  <c r="I17" i="20"/>
  <c r="G17" i="20" s="1"/>
  <c r="I16" i="20"/>
  <c r="C16" i="20" s="1"/>
  <c r="I15" i="20"/>
  <c r="G15" i="20" s="1"/>
  <c r="E15" i="20"/>
  <c r="I14" i="20"/>
  <c r="G14" i="20" s="1"/>
  <c r="I13" i="20"/>
  <c r="E13" i="20" s="1"/>
  <c r="I12" i="20"/>
  <c r="C12" i="20" s="1"/>
  <c r="I11" i="20"/>
  <c r="E11" i="20" s="1"/>
  <c r="I10" i="20"/>
  <c r="E10" i="20" s="1"/>
  <c r="I9" i="20"/>
  <c r="E9" i="20" s="1"/>
  <c r="I8" i="20"/>
  <c r="G8" i="20" s="1"/>
  <c r="I7" i="20"/>
  <c r="G7" i="20" s="1"/>
  <c r="I6" i="20"/>
  <c r="G6" i="20" s="1"/>
  <c r="I5" i="20"/>
  <c r="G5" i="20" s="1"/>
  <c r="I4" i="20"/>
  <c r="C4" i="20" s="1"/>
  <c r="I3" i="20"/>
  <c r="C3" i="20" s="1"/>
  <c r="I20" i="21"/>
  <c r="E20" i="21" s="1"/>
  <c r="I19" i="21"/>
  <c r="C19" i="21" s="1"/>
  <c r="I18" i="21"/>
  <c r="G18" i="21" s="1"/>
  <c r="I17" i="21"/>
  <c r="E17" i="21" s="1"/>
  <c r="I16" i="21"/>
  <c r="C16" i="21" s="1"/>
  <c r="I15" i="21"/>
  <c r="G15" i="21" s="1"/>
  <c r="I14" i="21"/>
  <c r="E14" i="21" s="1"/>
  <c r="I13" i="21"/>
  <c r="G13" i="21" s="1"/>
  <c r="I12" i="21"/>
  <c r="G12" i="21" s="1"/>
  <c r="I11" i="21"/>
  <c r="E11" i="21" s="1"/>
  <c r="I10" i="21"/>
  <c r="C10" i="21" s="1"/>
  <c r="I9" i="21"/>
  <c r="G9" i="21" s="1"/>
  <c r="I8" i="21"/>
  <c r="E8" i="21" s="1"/>
  <c r="I7" i="21"/>
  <c r="G7" i="21" s="1"/>
  <c r="I6" i="21"/>
  <c r="G6" i="21" s="1"/>
  <c r="I5" i="21"/>
  <c r="E5" i="21" s="1"/>
  <c r="I4" i="21"/>
  <c r="C4" i="21" s="1"/>
  <c r="I3" i="21"/>
  <c r="G3" i="21" s="1"/>
  <c r="C3" i="19"/>
  <c r="J3" i="19"/>
  <c r="I4" i="19"/>
  <c r="C4" i="19" s="1"/>
  <c r="I5" i="19"/>
  <c r="G5" i="19" s="1"/>
  <c r="I6" i="19"/>
  <c r="E6" i="19" s="1"/>
  <c r="I7" i="19"/>
  <c r="E7" i="19" s="1"/>
  <c r="I8" i="19"/>
  <c r="E8" i="19" s="1"/>
  <c r="I9" i="19"/>
  <c r="E9" i="19" s="1"/>
  <c r="I10" i="19"/>
  <c r="G10" i="19" s="1"/>
  <c r="I11" i="19"/>
  <c r="G11" i="19" s="1"/>
  <c r="I12" i="19"/>
  <c r="E12" i="19" s="1"/>
  <c r="I13" i="19"/>
  <c r="C13" i="19" s="1"/>
  <c r="I14" i="19"/>
  <c r="C14" i="19" s="1"/>
  <c r="I15" i="19"/>
  <c r="C15" i="19" s="1"/>
  <c r="I16" i="19"/>
  <c r="G16" i="19" s="1"/>
  <c r="I17" i="19"/>
  <c r="G17" i="19" s="1"/>
  <c r="I18" i="19"/>
  <c r="C18" i="19" s="1"/>
  <c r="I19" i="19"/>
  <c r="G19" i="19" s="1"/>
  <c r="I20" i="19"/>
  <c r="E20" i="19" s="1"/>
  <c r="G3" i="19"/>
  <c r="I3" i="19"/>
  <c r="C21" i="18"/>
  <c r="B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2" i="18"/>
  <c r="C21" i="17"/>
  <c r="B23" i="17" s="1"/>
  <c r="C21" i="16"/>
  <c r="B23" i="16" s="1"/>
  <c r="C21" i="15"/>
  <c r="B23" i="15" s="1"/>
  <c r="B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E2" i="17"/>
  <c r="B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2" i="16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" i="15"/>
  <c r="B21" i="15"/>
  <c r="E2" i="14"/>
  <c r="D5" i="14"/>
  <c r="C5" i="14"/>
  <c r="B5" i="14"/>
  <c r="F4" i="14"/>
  <c r="E4" i="14"/>
  <c r="F3" i="14"/>
  <c r="E3" i="14"/>
  <c r="F2" i="14"/>
  <c r="F3" i="13"/>
  <c r="F4" i="13"/>
  <c r="F2" i="13"/>
  <c r="E3" i="13"/>
  <c r="E4" i="13"/>
  <c r="E2" i="13"/>
  <c r="C5" i="13"/>
  <c r="D5" i="13"/>
  <c r="B5" i="13"/>
  <c r="C29" i="12"/>
  <c r="B29" i="12"/>
  <c r="B5" i="9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C29" i="11"/>
  <c r="B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C5" i="10"/>
  <c r="B5" i="10"/>
  <c r="D4" i="10"/>
  <c r="D3" i="10"/>
  <c r="D2" i="10"/>
  <c r="C5" i="9"/>
  <c r="D4" i="9"/>
  <c r="D3" i="9"/>
  <c r="D2" i="9"/>
  <c r="B29" i="8"/>
  <c r="C29" i="7"/>
  <c r="C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B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C5" i="6"/>
  <c r="B5" i="6"/>
  <c r="D4" i="6"/>
  <c r="D3" i="6"/>
  <c r="D2" i="6"/>
  <c r="C5" i="5"/>
  <c r="B5" i="5"/>
  <c r="D4" i="5"/>
  <c r="D3" i="5"/>
  <c r="D2" i="5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B29" i="4"/>
  <c r="C29" i="4"/>
  <c r="C29" i="3"/>
  <c r="D29" i="3" s="1"/>
  <c r="B29" i="3"/>
  <c r="C5" i="2"/>
  <c r="B5" i="2"/>
  <c r="D4" i="2"/>
  <c r="D3" i="2"/>
  <c r="D2" i="2"/>
  <c r="D3" i="1"/>
  <c r="D4" i="1"/>
  <c r="D2" i="1"/>
  <c r="C5" i="1"/>
  <c r="B5" i="1"/>
  <c r="D5" i="1" s="1"/>
  <c r="E16" i="26" l="1"/>
  <c r="C16" i="26"/>
  <c r="J16" i="26" s="1"/>
  <c r="E15" i="26"/>
  <c r="G15" i="26"/>
  <c r="C2" i="26"/>
  <c r="E2" i="26"/>
  <c r="G16" i="25"/>
  <c r="C15" i="25"/>
  <c r="C2" i="25"/>
  <c r="E2" i="25"/>
  <c r="C20" i="25"/>
  <c r="C19" i="25"/>
  <c r="C16" i="25"/>
  <c r="E15" i="25"/>
  <c r="J15" i="25" s="1"/>
  <c r="G9" i="26"/>
  <c r="E5" i="26"/>
  <c r="C14" i="26"/>
  <c r="E12" i="26"/>
  <c r="G4" i="26"/>
  <c r="E14" i="26"/>
  <c r="G12" i="26"/>
  <c r="E11" i="26"/>
  <c r="G11" i="26"/>
  <c r="C10" i="26"/>
  <c r="J9" i="26"/>
  <c r="C7" i="26"/>
  <c r="G6" i="26"/>
  <c r="C4" i="26"/>
  <c r="J4" i="26" s="1"/>
  <c r="E3" i="26"/>
  <c r="J3" i="26" s="1"/>
  <c r="G3" i="26"/>
  <c r="C12" i="25"/>
  <c r="E11" i="25"/>
  <c r="J11" i="25" s="1"/>
  <c r="G11" i="25"/>
  <c r="C10" i="25"/>
  <c r="E12" i="25"/>
  <c r="J12" i="25" s="1"/>
  <c r="G10" i="25"/>
  <c r="C9" i="25"/>
  <c r="E9" i="25"/>
  <c r="C8" i="25"/>
  <c r="C7" i="25"/>
  <c r="C4" i="25"/>
  <c r="E4" i="25"/>
  <c r="C3" i="25"/>
  <c r="E3" i="25"/>
  <c r="C14" i="25"/>
  <c r="E14" i="25"/>
  <c r="G17" i="22"/>
  <c r="J17" i="22" s="1"/>
  <c r="C17" i="22"/>
  <c r="E2" i="24"/>
  <c r="G2" i="24"/>
  <c r="J2" i="24" s="1"/>
  <c r="C17" i="24"/>
  <c r="G18" i="24"/>
  <c r="C19" i="24"/>
  <c r="C11" i="24"/>
  <c r="E19" i="24"/>
  <c r="E18" i="24"/>
  <c r="E17" i="24"/>
  <c r="G15" i="24"/>
  <c r="E15" i="24"/>
  <c r="E14" i="24"/>
  <c r="C12" i="24"/>
  <c r="E11" i="24"/>
  <c r="E6" i="24"/>
  <c r="C5" i="24"/>
  <c r="G14" i="24"/>
  <c r="G13" i="24"/>
  <c r="G12" i="24"/>
  <c r="G9" i="24"/>
  <c r="E7" i="24"/>
  <c r="G7" i="24"/>
  <c r="G6" i="24"/>
  <c r="E5" i="24"/>
  <c r="G3" i="24"/>
  <c r="E3" i="24"/>
  <c r="E14" i="22"/>
  <c r="C9" i="22"/>
  <c r="E9" i="22"/>
  <c r="C19" i="26"/>
  <c r="E7" i="26"/>
  <c r="E19" i="26"/>
  <c r="C5" i="26"/>
  <c r="J5" i="26" s="1"/>
  <c r="C17" i="26"/>
  <c r="J17" i="26" s="1"/>
  <c r="E10" i="26"/>
  <c r="J10" i="26" s="1"/>
  <c r="C8" i="26"/>
  <c r="C20" i="26"/>
  <c r="E8" i="26"/>
  <c r="C13" i="26"/>
  <c r="E20" i="26"/>
  <c r="C6" i="26"/>
  <c r="E13" i="26"/>
  <c r="C18" i="26"/>
  <c r="E18" i="26"/>
  <c r="J2" i="25"/>
  <c r="E7" i="25"/>
  <c r="E19" i="25"/>
  <c r="J19" i="25" s="1"/>
  <c r="C5" i="25"/>
  <c r="C17" i="25"/>
  <c r="E5" i="25"/>
  <c r="E17" i="25"/>
  <c r="E8" i="25"/>
  <c r="J8" i="25" s="1"/>
  <c r="C13" i="25"/>
  <c r="J13" i="25" s="1"/>
  <c r="E20" i="25"/>
  <c r="J20" i="25" s="1"/>
  <c r="C6" i="25"/>
  <c r="E13" i="25"/>
  <c r="C18" i="25"/>
  <c r="E6" i="25"/>
  <c r="E18" i="25"/>
  <c r="C4" i="24"/>
  <c r="C16" i="24"/>
  <c r="E4" i="24"/>
  <c r="C9" i="24"/>
  <c r="E16" i="24"/>
  <c r="C10" i="24"/>
  <c r="E10" i="24"/>
  <c r="C8" i="24"/>
  <c r="C20" i="24"/>
  <c r="E8" i="24"/>
  <c r="C13" i="24"/>
  <c r="E20" i="24"/>
  <c r="G7" i="22"/>
  <c r="C3" i="22"/>
  <c r="E16" i="22"/>
  <c r="G3" i="22"/>
  <c r="G16" i="22"/>
  <c r="E4" i="22"/>
  <c r="G4" i="22"/>
  <c r="J4" i="22" s="1"/>
  <c r="C5" i="22"/>
  <c r="C14" i="22"/>
  <c r="J14" i="22" s="1"/>
  <c r="G13" i="22"/>
  <c r="J9" i="22"/>
  <c r="E5" i="22"/>
  <c r="J5" i="22" s="1"/>
  <c r="C10" i="22"/>
  <c r="C15" i="22"/>
  <c r="E10" i="22"/>
  <c r="E15" i="22"/>
  <c r="C19" i="22"/>
  <c r="G19" i="22"/>
  <c r="C2" i="22"/>
  <c r="C11" i="22"/>
  <c r="J11" i="22" s="1"/>
  <c r="C7" i="22"/>
  <c r="G11" i="22"/>
  <c r="E2" i="22"/>
  <c r="C12" i="22"/>
  <c r="E12" i="22"/>
  <c r="C8" i="22"/>
  <c r="C20" i="22"/>
  <c r="E8" i="22"/>
  <c r="C13" i="22"/>
  <c r="E20" i="22"/>
  <c r="C6" i="22"/>
  <c r="C18" i="22"/>
  <c r="E6" i="22"/>
  <c r="E18" i="22"/>
  <c r="G19" i="23"/>
  <c r="C19" i="23"/>
  <c r="C17" i="23"/>
  <c r="C2" i="23"/>
  <c r="E2" i="23"/>
  <c r="J19" i="23"/>
  <c r="G17" i="23"/>
  <c r="J17" i="23" s="1"/>
  <c r="G16" i="23"/>
  <c r="E16" i="23"/>
  <c r="J16" i="23" s="1"/>
  <c r="E15" i="23"/>
  <c r="C15" i="23"/>
  <c r="J15" i="23" s="1"/>
  <c r="J2" i="23"/>
  <c r="C15" i="20"/>
  <c r="C19" i="20"/>
  <c r="J19" i="20" s="1"/>
  <c r="E19" i="20"/>
  <c r="J15" i="20"/>
  <c r="C20" i="20"/>
  <c r="E20" i="20"/>
  <c r="C17" i="20"/>
  <c r="E16" i="20"/>
  <c r="C2" i="20"/>
  <c r="E2" i="20"/>
  <c r="E4" i="23"/>
  <c r="C9" i="23"/>
  <c r="J9" i="23" s="1"/>
  <c r="E9" i="23"/>
  <c r="E8" i="23"/>
  <c r="C8" i="23"/>
  <c r="C14" i="23"/>
  <c r="E14" i="23"/>
  <c r="C13" i="23"/>
  <c r="J13" i="23" s="1"/>
  <c r="E13" i="23"/>
  <c r="G11" i="23"/>
  <c r="E10" i="23"/>
  <c r="J10" i="23" s="1"/>
  <c r="G10" i="23"/>
  <c r="C7" i="23"/>
  <c r="E7" i="23"/>
  <c r="C5" i="23"/>
  <c r="J5" i="23" s="1"/>
  <c r="G5" i="23"/>
  <c r="G4" i="23"/>
  <c r="G3" i="23"/>
  <c r="C3" i="23"/>
  <c r="E12" i="20"/>
  <c r="C8" i="20"/>
  <c r="C13" i="20"/>
  <c r="E8" i="20"/>
  <c r="J8" i="20" s="1"/>
  <c r="G3" i="20"/>
  <c r="E19" i="21"/>
  <c r="G19" i="21"/>
  <c r="E16" i="21"/>
  <c r="G20" i="21"/>
  <c r="C18" i="21"/>
  <c r="G17" i="21"/>
  <c r="G16" i="21"/>
  <c r="G2" i="21"/>
  <c r="E2" i="21"/>
  <c r="C19" i="19"/>
  <c r="E19" i="19"/>
  <c r="E18" i="19"/>
  <c r="G18" i="19"/>
  <c r="E17" i="19"/>
  <c r="C17" i="19"/>
  <c r="J17" i="19" s="1"/>
  <c r="E16" i="19"/>
  <c r="C16" i="19"/>
  <c r="C2" i="19"/>
  <c r="E2" i="19"/>
  <c r="C15" i="21"/>
  <c r="C9" i="21"/>
  <c r="E10" i="21"/>
  <c r="G8" i="21"/>
  <c r="C3" i="21"/>
  <c r="C12" i="23"/>
  <c r="E12" i="23"/>
  <c r="C20" i="23"/>
  <c r="E20" i="23"/>
  <c r="C6" i="23"/>
  <c r="C18" i="23"/>
  <c r="E6" i="23"/>
  <c r="C11" i="23"/>
  <c r="E18" i="23"/>
  <c r="E3" i="20"/>
  <c r="J3" i="20" s="1"/>
  <c r="G11" i="20"/>
  <c r="G12" i="20"/>
  <c r="J12" i="20" s="1"/>
  <c r="C9" i="20"/>
  <c r="G13" i="20"/>
  <c r="J13" i="20" s="1"/>
  <c r="E4" i="20"/>
  <c r="G9" i="20"/>
  <c r="G10" i="20"/>
  <c r="E14" i="20"/>
  <c r="C14" i="20"/>
  <c r="C7" i="20"/>
  <c r="E7" i="20"/>
  <c r="E4" i="21"/>
  <c r="G10" i="21"/>
  <c r="J10" i="21" s="1"/>
  <c r="G4" i="21"/>
  <c r="J4" i="21" s="1"/>
  <c r="G5" i="21"/>
  <c r="C13" i="21"/>
  <c r="E13" i="21"/>
  <c r="C8" i="21"/>
  <c r="C14" i="21"/>
  <c r="C6" i="21"/>
  <c r="G14" i="21"/>
  <c r="C7" i="21"/>
  <c r="E7" i="21"/>
  <c r="C11" i="21"/>
  <c r="G11" i="21"/>
  <c r="G4" i="20"/>
  <c r="G16" i="20"/>
  <c r="C5" i="20"/>
  <c r="E5" i="20"/>
  <c r="C10" i="20"/>
  <c r="E17" i="20"/>
  <c r="J17" i="20" s="1"/>
  <c r="C6" i="20"/>
  <c r="C18" i="20"/>
  <c r="E6" i="20"/>
  <c r="C11" i="20"/>
  <c r="J11" i="20" s="1"/>
  <c r="E18" i="20"/>
  <c r="E9" i="21"/>
  <c r="J9" i="21" s="1"/>
  <c r="C12" i="21"/>
  <c r="C5" i="21"/>
  <c r="E12" i="21"/>
  <c r="C17" i="21"/>
  <c r="C20" i="21"/>
  <c r="E3" i="21"/>
  <c r="J3" i="21" s="1"/>
  <c r="E15" i="21"/>
  <c r="E6" i="21"/>
  <c r="E18" i="21"/>
  <c r="J18" i="21" s="1"/>
  <c r="E10" i="19"/>
  <c r="G4" i="19"/>
  <c r="C7" i="19"/>
  <c r="J7" i="19" s="1"/>
  <c r="C6" i="19"/>
  <c r="J6" i="19" s="1"/>
  <c r="E13" i="19"/>
  <c r="C12" i="19"/>
  <c r="G12" i="19"/>
  <c r="C11" i="19"/>
  <c r="C10" i="19"/>
  <c r="J10" i="19" s="1"/>
  <c r="G9" i="19"/>
  <c r="C9" i="19"/>
  <c r="J9" i="19" s="1"/>
  <c r="G7" i="19"/>
  <c r="G6" i="19"/>
  <c r="E5" i="19"/>
  <c r="C5" i="19"/>
  <c r="E4" i="19"/>
  <c r="E15" i="19"/>
  <c r="G20" i="19"/>
  <c r="G8" i="19"/>
  <c r="E14" i="19"/>
  <c r="J14" i="19" s="1"/>
  <c r="C20" i="19"/>
  <c r="C8" i="19"/>
  <c r="E11" i="19"/>
  <c r="G14" i="19"/>
  <c r="G15" i="19"/>
  <c r="G13" i="19"/>
  <c r="E3" i="19"/>
  <c r="B23" i="18"/>
  <c r="D29" i="12"/>
  <c r="D29" i="11"/>
  <c r="D5" i="10"/>
  <c r="D5" i="9"/>
  <c r="D29" i="8"/>
  <c r="D29" i="7"/>
  <c r="D5" i="6"/>
  <c r="D5" i="5"/>
  <c r="D29" i="4"/>
  <c r="D5" i="2"/>
  <c r="J2" i="26" l="1"/>
  <c r="J20" i="26"/>
  <c r="J15" i="26"/>
  <c r="J16" i="25"/>
  <c r="J14" i="26"/>
  <c r="J6" i="26"/>
  <c r="J12" i="26"/>
  <c r="J11" i="26"/>
  <c r="J7" i="26"/>
  <c r="J13" i="26"/>
  <c r="J10" i="25"/>
  <c r="J7" i="25"/>
  <c r="J9" i="25"/>
  <c r="J4" i="25"/>
  <c r="J3" i="25"/>
  <c r="J14" i="25"/>
  <c r="J15" i="24"/>
  <c r="J12" i="24"/>
  <c r="J14" i="24"/>
  <c r="J5" i="24"/>
  <c r="J3" i="24"/>
  <c r="J18" i="24"/>
  <c r="J17" i="24"/>
  <c r="J19" i="24"/>
  <c r="J7" i="24"/>
  <c r="J16" i="24"/>
  <c r="J6" i="24"/>
  <c r="J11" i="24"/>
  <c r="J13" i="24"/>
  <c r="J4" i="24"/>
  <c r="J9" i="24"/>
  <c r="J8" i="24"/>
  <c r="J8" i="26"/>
  <c r="J18" i="26"/>
  <c r="J19" i="26"/>
  <c r="J5" i="25"/>
  <c r="J17" i="25"/>
  <c r="J18" i="25"/>
  <c r="J6" i="25"/>
  <c r="J20" i="24"/>
  <c r="J10" i="24"/>
  <c r="J3" i="22"/>
  <c r="J7" i="22"/>
  <c r="J16" i="22"/>
  <c r="J13" i="22"/>
  <c r="J19" i="22"/>
  <c r="J2" i="22"/>
  <c r="J15" i="22"/>
  <c r="J10" i="22"/>
  <c r="J8" i="22"/>
  <c r="J20" i="22"/>
  <c r="J12" i="22"/>
  <c r="J18" i="22"/>
  <c r="J6" i="22"/>
  <c r="J16" i="20"/>
  <c r="J20" i="20"/>
  <c r="J18" i="20"/>
  <c r="J2" i="20"/>
  <c r="J8" i="23"/>
  <c r="J4" i="23"/>
  <c r="J14" i="23"/>
  <c r="J11" i="23"/>
  <c r="J7" i="23"/>
  <c r="J3" i="23"/>
  <c r="J14" i="20"/>
  <c r="J19" i="21"/>
  <c r="J16" i="21"/>
  <c r="J2" i="21"/>
  <c r="J20" i="21"/>
  <c r="J17" i="21"/>
  <c r="J15" i="21"/>
  <c r="J18" i="19"/>
  <c r="J2" i="19"/>
  <c r="J19" i="19"/>
  <c r="J15" i="19"/>
  <c r="J20" i="19"/>
  <c r="J16" i="19"/>
  <c r="J13" i="21"/>
  <c r="J14" i="21"/>
  <c r="J8" i="21"/>
  <c r="J18" i="23"/>
  <c r="J6" i="23"/>
  <c r="J20" i="23"/>
  <c r="J12" i="23"/>
  <c r="J10" i="20"/>
  <c r="J4" i="20"/>
  <c r="J9" i="20"/>
  <c r="J6" i="20"/>
  <c r="J7" i="20"/>
  <c r="J6" i="21"/>
  <c r="J5" i="21"/>
  <c r="J11" i="21"/>
  <c r="J7" i="21"/>
  <c r="J5" i="20"/>
  <c r="J12" i="21"/>
  <c r="J13" i="19"/>
  <c r="J4" i="19"/>
  <c r="J8" i="19"/>
  <c r="J12" i="19"/>
  <c r="J11" i="19"/>
  <c r="J5" i="19"/>
</calcChain>
</file>

<file path=xl/sharedStrings.xml><?xml version="1.0" encoding="utf-8"?>
<sst xmlns="http://schemas.openxmlformats.org/spreadsheetml/2006/main" count="138" uniqueCount="42">
  <si>
    <t>year</t>
    <phoneticPr fontId="2" type="noConversion"/>
  </si>
  <si>
    <t>占比</t>
    <phoneticPr fontId="2" type="noConversion"/>
  </si>
  <si>
    <t>Total</t>
    <phoneticPr fontId="2" type="noConversion"/>
  </si>
  <si>
    <t>花蓮縣每年筆數</t>
    <phoneticPr fontId="2" type="noConversion"/>
  </si>
  <si>
    <t>花蓮縣TPASS每年筆數</t>
    <phoneticPr fontId="2" type="noConversion"/>
  </si>
  <si>
    <t>花蓮縣每月筆數</t>
    <phoneticPr fontId="2" type="noConversion"/>
  </si>
  <si>
    <t>花蓮縣TPASS每月筆數</t>
    <phoneticPr fontId="2" type="noConversion"/>
  </si>
  <si>
    <t>臺東縣每年筆數</t>
    <phoneticPr fontId="2" type="noConversion"/>
  </si>
  <si>
    <t>臺東縣TPASS每年筆數</t>
    <phoneticPr fontId="2" type="noConversion"/>
  </si>
  <si>
    <t>臺東縣每月筆數</t>
    <phoneticPr fontId="2" type="noConversion"/>
  </si>
  <si>
    <t>臺東縣TPASS每月筆數</t>
    <phoneticPr fontId="2" type="noConversion"/>
  </si>
  <si>
    <t>花蓮縣市區客運每年筆數</t>
    <phoneticPr fontId="2" type="noConversion"/>
  </si>
  <si>
    <t>花蓮縣市區客運TPASS每年筆數</t>
    <phoneticPr fontId="2" type="noConversion"/>
  </si>
  <si>
    <t>臺東縣市區客運每年筆數</t>
    <phoneticPr fontId="2" type="noConversion"/>
  </si>
  <si>
    <t>臺東縣市區客運TPASS每年筆數</t>
    <phoneticPr fontId="2" type="noConversion"/>
  </si>
  <si>
    <t>花蓮縣市區客運每月筆數</t>
    <phoneticPr fontId="2" type="noConversion"/>
  </si>
  <si>
    <t>花蓮縣市區客運TPASS每月筆數</t>
    <phoneticPr fontId="2" type="noConversion"/>
  </si>
  <si>
    <t>臺東縣市區客運每月筆數</t>
    <phoneticPr fontId="2" type="noConversion"/>
  </si>
  <si>
    <t>臺東縣市區客運TPASS每月筆數</t>
    <phoneticPr fontId="2" type="noConversion"/>
  </si>
  <si>
    <t>花蓮縣公路客運每年筆數</t>
    <phoneticPr fontId="2" type="noConversion"/>
  </si>
  <si>
    <t>花蓮縣公路客運TPASS每年筆數</t>
    <phoneticPr fontId="2" type="noConversion"/>
  </si>
  <si>
    <t>臺東縣公路客運每年筆數</t>
    <phoneticPr fontId="2" type="noConversion"/>
  </si>
  <si>
    <t>臺東縣公路客運TPASS每年筆數</t>
    <phoneticPr fontId="2" type="noConversion"/>
  </si>
  <si>
    <t>花蓮縣公路客運每月筆數</t>
    <phoneticPr fontId="2" type="noConversion"/>
  </si>
  <si>
    <t>花蓮縣公路客運TPASS每月筆數</t>
    <phoneticPr fontId="2" type="noConversion"/>
  </si>
  <si>
    <t>臺東縣公路客運每月筆數</t>
    <phoneticPr fontId="2" type="noConversion"/>
  </si>
  <si>
    <t>臺東縣公路客運TPASS每月筆數</t>
    <phoneticPr fontId="2" type="noConversion"/>
  </si>
  <si>
    <t>#HUA-199</t>
    <phoneticPr fontId="2" type="noConversion"/>
  </si>
  <si>
    <t>#HUA-399</t>
    <phoneticPr fontId="2" type="noConversion"/>
  </si>
  <si>
    <t>#TTT-299</t>
    <phoneticPr fontId="2" type="noConversion"/>
  </si>
  <si>
    <t>113成長率</t>
    <phoneticPr fontId="2" type="noConversion"/>
  </si>
  <si>
    <t>114成長率</t>
    <phoneticPr fontId="2" type="noConversion"/>
  </si>
  <si>
    <t xml:space="preserve">票種次類型 </t>
    <phoneticPr fontId="2" type="noConversion"/>
  </si>
  <si>
    <t>year-month</t>
    <phoneticPr fontId="2" type="noConversion"/>
  </si>
  <si>
    <t>該月資料總筆數</t>
    <phoneticPr fontId="2" type="noConversion"/>
  </si>
  <si>
    <t>該月有效里程筆數</t>
    <phoneticPr fontId="2" type="noConversion"/>
  </si>
  <si>
    <t>該月累積里程_公里</t>
    <phoneticPr fontId="2" type="noConversion"/>
  </si>
  <si>
    <t>該月平均里程_公里</t>
    <phoneticPr fontId="2" type="noConversion"/>
  </si>
  <si>
    <t>Total</t>
    <phoneticPr fontId="2" type="noConversion"/>
  </si>
  <si>
    <t xml:space="preserve">僅一次 </t>
    <phoneticPr fontId="2" type="noConversion"/>
  </si>
  <si>
    <t>二至四次</t>
    <phoneticPr fontId="2" type="noConversion"/>
  </si>
  <si>
    <t>五次以上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</si>
</sst>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yyyy\-mm"/>
    <numFmt numFmtId="178" formatCode="0.0"/>
  </numFmts>
  <fonts count="3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176" fontId="0" fillId="0" borderId="0" xfId="1" applyNumberFormat="1" applyFont="1" applyAlignment="1"/>
    <xf numFmtId="177" fontId="0" fillId="0" borderId="0" xfId="0" applyNumberFormat="1"/>
    <xf numFmtId="0" fontId="0" fillId="0" borderId="0" xfId="1" applyNumberFormat="1" applyFont="1" applyAlignment="1"/>
    <xf numFmtId="0" fontId="0" fillId="0" borderId="0" xfId="0" applyNumberFormat="1"/>
    <xf numFmtId="178" fontId="0" fillId="0" borderId="0" xfId="0" applyNumberFormat="1"/>
    <xf numFmtId="10" fontId="0" fillId="0" borderId="0" xfId="1" applyNumberFormat="1" applyFont="1" applyAlignmen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zoomScale="145" zoomScaleNormal="145" workbookViewId="0">
      <selection activeCell="H12" sqref="H12"/>
    </sheetView>
  </sheetViews>
  <sheetFormatPr defaultRowHeight="15.75" x14ac:dyDescent="0.25"/>
  <cols>
    <col min="1" max="1" width="6" bestFit="1" customWidth="1"/>
    <col min="2" max="2" width="17.5703125" bestFit="1" customWidth="1"/>
    <col min="3" max="3" width="24.42578125" bestFit="1" customWidth="1"/>
    <col min="4" max="4" width="7" bestFit="1" customWidth="1"/>
  </cols>
  <sheetData>
    <row r="1" spans="1:4" x14ac:dyDescent="0.25">
      <c r="A1" t="s">
        <v>0</v>
      </c>
      <c r="B1" t="s">
        <v>3</v>
      </c>
      <c r="C1" t="s">
        <v>4</v>
      </c>
      <c r="D1" t="s">
        <v>1</v>
      </c>
    </row>
    <row r="2" spans="1:4" x14ac:dyDescent="0.25">
      <c r="A2">
        <v>2023</v>
      </c>
      <c r="B2">
        <v>253152</v>
      </c>
      <c r="C2">
        <v>28242</v>
      </c>
      <c r="D2" s="1">
        <f>C2/B2</f>
        <v>0.11156143344709897</v>
      </c>
    </row>
    <row r="3" spans="1:4" x14ac:dyDescent="0.25">
      <c r="A3">
        <v>2024</v>
      </c>
      <c r="B3">
        <v>827251</v>
      </c>
      <c r="C3">
        <v>131317</v>
      </c>
      <c r="D3" s="1">
        <f t="shared" ref="D3:D5" si="0">C3/B3</f>
        <v>0.15873900424417739</v>
      </c>
    </row>
    <row r="4" spans="1:4" x14ac:dyDescent="0.25">
      <c r="A4">
        <v>2025</v>
      </c>
      <c r="B4">
        <v>686640</v>
      </c>
      <c r="C4">
        <v>167573</v>
      </c>
      <c r="D4" s="1">
        <f t="shared" si="0"/>
        <v>0.24404782710008155</v>
      </c>
    </row>
    <row r="5" spans="1:4" x14ac:dyDescent="0.25">
      <c r="A5" t="s">
        <v>2</v>
      </c>
      <c r="B5">
        <f>B2+B3+B4</f>
        <v>1767043</v>
      </c>
      <c r="C5">
        <f>C2+C3+C4</f>
        <v>327132</v>
      </c>
      <c r="D5" s="1">
        <f t="shared" si="0"/>
        <v>0.18512962050159504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1AE27-E43F-415B-8043-BB7EC61E8EAC}">
  <dimension ref="A1:D5"/>
  <sheetViews>
    <sheetView zoomScale="145" zoomScaleNormal="145" workbookViewId="0">
      <selection activeCell="B1" sqref="B1"/>
    </sheetView>
  </sheetViews>
  <sheetFormatPr defaultRowHeight="15.75" x14ac:dyDescent="0.25"/>
  <cols>
    <col min="1" max="1" width="6" bestFit="1" customWidth="1"/>
    <col min="2" max="2" width="17.5703125" bestFit="1" customWidth="1"/>
    <col min="3" max="3" width="24.42578125" bestFit="1" customWidth="1"/>
    <col min="4" max="4" width="7" bestFit="1" customWidth="1"/>
  </cols>
  <sheetData>
    <row r="1" spans="1:4" x14ac:dyDescent="0.25">
      <c r="A1" t="s">
        <v>0</v>
      </c>
      <c r="B1" t="s">
        <v>7</v>
      </c>
      <c r="C1" t="s">
        <v>8</v>
      </c>
      <c r="D1" t="s">
        <v>1</v>
      </c>
    </row>
    <row r="2" spans="1:4" x14ac:dyDescent="0.25">
      <c r="A2">
        <v>2023</v>
      </c>
      <c r="B2">
        <v>341810</v>
      </c>
      <c r="C2">
        <v>70662</v>
      </c>
      <c r="D2" s="1">
        <f>C2/B2</f>
        <v>0.2067288844679793</v>
      </c>
    </row>
    <row r="3" spans="1:4" x14ac:dyDescent="0.25">
      <c r="A3">
        <v>2024</v>
      </c>
      <c r="B3">
        <v>1213566</v>
      </c>
      <c r="C3">
        <v>312288</v>
      </c>
      <c r="D3" s="1">
        <f t="shared" ref="D3:D5" si="0">C3/B3</f>
        <v>0.2573308744641824</v>
      </c>
    </row>
    <row r="4" spans="1:4" x14ac:dyDescent="0.25">
      <c r="A4">
        <v>2025</v>
      </c>
      <c r="B4">
        <v>1107085</v>
      </c>
      <c r="C4">
        <v>353873</v>
      </c>
      <c r="D4" s="1">
        <f t="shared" si="0"/>
        <v>0.31964392977955625</v>
      </c>
    </row>
    <row r="5" spans="1:4" x14ac:dyDescent="0.25">
      <c r="A5" t="s">
        <v>2</v>
      </c>
      <c r="B5">
        <f>B2+B3+B4</f>
        <v>2662461</v>
      </c>
      <c r="C5">
        <f>C2+C3+C4</f>
        <v>736823</v>
      </c>
      <c r="D5" s="1">
        <f t="shared" si="0"/>
        <v>0.27674508659469566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8BC4C-3540-4A13-85E9-4BAD887665DB}">
  <dimension ref="A1:D29"/>
  <sheetViews>
    <sheetView zoomScale="130" zoomScaleNormal="130" workbookViewId="0">
      <selection sqref="A1:XFD1048576"/>
    </sheetView>
  </sheetViews>
  <sheetFormatPr defaultRowHeight="15.75" x14ac:dyDescent="0.25"/>
  <cols>
    <col min="1" max="1" width="11.140625" bestFit="1" customWidth="1"/>
    <col min="2" max="2" width="17.5703125" bestFit="1" customWidth="1"/>
    <col min="3" max="3" width="24.42578125" bestFit="1" customWidth="1"/>
    <col min="4" max="4" width="7" bestFit="1" customWidth="1"/>
  </cols>
  <sheetData>
    <row r="1" spans="1:4" x14ac:dyDescent="0.25">
      <c r="A1" t="s">
        <v>33</v>
      </c>
      <c r="B1" t="s">
        <v>5</v>
      </c>
      <c r="C1" t="s">
        <v>6</v>
      </c>
      <c r="D1" t="s">
        <v>1</v>
      </c>
    </row>
    <row r="2" spans="1:4" x14ac:dyDescent="0.25">
      <c r="A2" s="2">
        <v>45200</v>
      </c>
      <c r="B2">
        <v>76718</v>
      </c>
      <c r="C2">
        <v>7238</v>
      </c>
      <c r="D2" s="1">
        <f t="shared" ref="D2:D29" si="0">C2/B2</f>
        <v>9.43455251701035E-2</v>
      </c>
    </row>
    <row r="3" spans="1:4" x14ac:dyDescent="0.25">
      <c r="A3" s="2">
        <v>45231</v>
      </c>
      <c r="B3">
        <v>88444</v>
      </c>
      <c r="C3">
        <v>10409</v>
      </c>
      <c r="D3" s="1">
        <f t="shared" si="0"/>
        <v>0.11769028990095427</v>
      </c>
    </row>
    <row r="4" spans="1:4" x14ac:dyDescent="0.25">
      <c r="A4" s="2">
        <v>45261</v>
      </c>
      <c r="B4">
        <v>87990</v>
      </c>
      <c r="C4">
        <v>10595</v>
      </c>
      <c r="D4" s="1">
        <f t="shared" si="0"/>
        <v>0.12041141038754404</v>
      </c>
    </row>
    <row r="5" spans="1:4" x14ac:dyDescent="0.25">
      <c r="A5" s="2">
        <v>45292</v>
      </c>
      <c r="B5">
        <v>78333</v>
      </c>
      <c r="C5">
        <v>8616</v>
      </c>
      <c r="D5" s="1">
        <f t="shared" si="0"/>
        <v>0.10999195741258473</v>
      </c>
    </row>
    <row r="6" spans="1:4" x14ac:dyDescent="0.25">
      <c r="A6" s="2">
        <v>45323</v>
      </c>
      <c r="B6">
        <v>71650</v>
      </c>
      <c r="C6">
        <v>6897</v>
      </c>
      <c r="D6" s="1">
        <f t="shared" si="0"/>
        <v>9.6259595254710395E-2</v>
      </c>
    </row>
    <row r="7" spans="1:4" x14ac:dyDescent="0.25">
      <c r="A7" s="2">
        <v>45352</v>
      </c>
      <c r="B7">
        <v>87262</v>
      </c>
      <c r="C7">
        <v>12632</v>
      </c>
      <c r="D7" s="1">
        <f t="shared" si="0"/>
        <v>0.14475946001696041</v>
      </c>
    </row>
    <row r="8" spans="1:4" x14ac:dyDescent="0.25">
      <c r="A8" s="2">
        <v>45383</v>
      </c>
      <c r="B8">
        <v>42338</v>
      </c>
      <c r="C8">
        <v>8673</v>
      </c>
      <c r="D8" s="1">
        <f t="shared" si="0"/>
        <v>0.20485143370022202</v>
      </c>
    </row>
    <row r="9" spans="1:4" x14ac:dyDescent="0.25">
      <c r="A9" s="2">
        <v>45413</v>
      </c>
      <c r="B9">
        <v>45773</v>
      </c>
      <c r="C9">
        <v>10359</v>
      </c>
      <c r="D9" s="1">
        <f t="shared" si="0"/>
        <v>0.22631245494068555</v>
      </c>
    </row>
    <row r="10" spans="1:4" x14ac:dyDescent="0.25">
      <c r="A10" s="2">
        <v>45444</v>
      </c>
      <c r="B10">
        <v>53716</v>
      </c>
      <c r="C10">
        <v>8198</v>
      </c>
      <c r="D10" s="1">
        <f t="shared" si="0"/>
        <v>0.15261746965522377</v>
      </c>
    </row>
    <row r="11" spans="1:4" x14ac:dyDescent="0.25">
      <c r="A11" s="2">
        <v>45474</v>
      </c>
      <c r="B11">
        <v>47462</v>
      </c>
      <c r="C11">
        <v>6357</v>
      </c>
      <c r="D11" s="1">
        <f t="shared" si="0"/>
        <v>0.13393872993131348</v>
      </c>
    </row>
    <row r="12" spans="1:4" x14ac:dyDescent="0.25">
      <c r="A12" s="2">
        <v>45505</v>
      </c>
      <c r="B12">
        <v>53458</v>
      </c>
      <c r="C12">
        <v>6432</v>
      </c>
      <c r="D12" s="1">
        <f t="shared" si="0"/>
        <v>0.12031875491039695</v>
      </c>
    </row>
    <row r="13" spans="1:4" x14ac:dyDescent="0.25">
      <c r="A13" s="2">
        <v>45536</v>
      </c>
      <c r="B13">
        <v>90420</v>
      </c>
      <c r="C13">
        <v>15941</v>
      </c>
      <c r="D13" s="1">
        <f t="shared" si="0"/>
        <v>0.17629949126299491</v>
      </c>
    </row>
    <row r="14" spans="1:4" x14ac:dyDescent="0.25">
      <c r="A14" s="2">
        <v>45566</v>
      </c>
      <c r="B14">
        <v>61983</v>
      </c>
      <c r="C14">
        <v>11508</v>
      </c>
      <c r="D14" s="1">
        <f t="shared" si="0"/>
        <v>0.18566381104496393</v>
      </c>
    </row>
    <row r="15" spans="1:4" x14ac:dyDescent="0.25">
      <c r="A15" s="2">
        <v>45597</v>
      </c>
      <c r="B15">
        <v>98848</v>
      </c>
      <c r="C15">
        <v>17836</v>
      </c>
      <c r="D15" s="1">
        <f t="shared" si="0"/>
        <v>0.18043865328585304</v>
      </c>
    </row>
    <row r="16" spans="1:4" x14ac:dyDescent="0.25">
      <c r="A16" s="2">
        <v>45627</v>
      </c>
      <c r="B16">
        <v>96008</v>
      </c>
      <c r="C16">
        <v>17868</v>
      </c>
      <c r="D16" s="1">
        <f t="shared" si="0"/>
        <v>0.18610949087576034</v>
      </c>
    </row>
    <row r="17" spans="1:4" x14ac:dyDescent="0.25">
      <c r="A17" s="2">
        <v>45658</v>
      </c>
      <c r="B17">
        <v>47704</v>
      </c>
      <c r="C17">
        <v>8382</v>
      </c>
      <c r="D17" s="1">
        <f t="shared" si="0"/>
        <v>0.17570853597182626</v>
      </c>
    </row>
    <row r="18" spans="1:4" x14ac:dyDescent="0.25">
      <c r="A18" s="2">
        <v>45689</v>
      </c>
      <c r="B18">
        <v>47770</v>
      </c>
      <c r="C18">
        <v>10287</v>
      </c>
      <c r="D18" s="1">
        <f t="shared" si="0"/>
        <v>0.21534435838392296</v>
      </c>
    </row>
    <row r="19" spans="1:4" x14ac:dyDescent="0.25">
      <c r="A19" s="2">
        <v>45717</v>
      </c>
      <c r="B19">
        <v>61487</v>
      </c>
      <c r="C19">
        <v>15553</v>
      </c>
      <c r="D19" s="1">
        <f t="shared" si="0"/>
        <v>0.25294777757900044</v>
      </c>
    </row>
    <row r="20" spans="1:4" x14ac:dyDescent="0.25">
      <c r="A20" s="2">
        <v>45748</v>
      </c>
      <c r="B20">
        <v>63416</v>
      </c>
      <c r="C20">
        <v>14458</v>
      </c>
      <c r="D20" s="1">
        <f t="shared" si="0"/>
        <v>0.22798662798032043</v>
      </c>
    </row>
    <row r="21" spans="1:4" x14ac:dyDescent="0.25">
      <c r="A21" s="2">
        <v>45778</v>
      </c>
      <c r="B21">
        <v>60155</v>
      </c>
      <c r="C21">
        <v>14971</v>
      </c>
      <c r="D21" s="1">
        <f t="shared" si="0"/>
        <v>0.24887374283101987</v>
      </c>
    </row>
    <row r="22" spans="1:4" x14ac:dyDescent="0.25">
      <c r="A22" s="2">
        <v>45809</v>
      </c>
      <c r="B22">
        <v>56400</v>
      </c>
      <c r="C22">
        <v>12635</v>
      </c>
      <c r="D22" s="1">
        <f t="shared" si="0"/>
        <v>0.22402482269503546</v>
      </c>
    </row>
    <row r="23" spans="1:4" x14ac:dyDescent="0.25">
      <c r="A23" s="2">
        <v>45839</v>
      </c>
      <c r="B23">
        <v>49208</v>
      </c>
      <c r="C23">
        <v>9084</v>
      </c>
      <c r="D23" s="1">
        <f t="shared" si="0"/>
        <v>0.18460412940985205</v>
      </c>
    </row>
    <row r="24" spans="1:4" x14ac:dyDescent="0.25">
      <c r="A24" s="2">
        <v>45870</v>
      </c>
      <c r="B24">
        <v>52652</v>
      </c>
      <c r="C24">
        <v>9202</v>
      </c>
      <c r="D24" s="1">
        <f t="shared" si="0"/>
        <v>0.17477018916660336</v>
      </c>
    </row>
    <row r="25" spans="1:4" x14ac:dyDescent="0.25">
      <c r="A25" s="2">
        <v>45901</v>
      </c>
      <c r="B25">
        <v>65171</v>
      </c>
      <c r="C25">
        <v>18690</v>
      </c>
      <c r="D25" s="1">
        <f t="shared" si="0"/>
        <v>0.28678399901796814</v>
      </c>
    </row>
    <row r="26" spans="1:4" x14ac:dyDescent="0.25">
      <c r="A26" s="2">
        <v>45931</v>
      </c>
      <c r="B26">
        <v>67264</v>
      </c>
      <c r="C26">
        <v>20557</v>
      </c>
      <c r="D26" s="1">
        <f t="shared" si="0"/>
        <v>0.30561667459562319</v>
      </c>
    </row>
    <row r="27" spans="1:4" x14ac:dyDescent="0.25">
      <c r="A27" s="2">
        <v>45962</v>
      </c>
      <c r="B27">
        <v>53477</v>
      </c>
      <c r="C27">
        <v>15752</v>
      </c>
      <c r="D27" s="1">
        <f t="shared" si="0"/>
        <v>0.29455653832488732</v>
      </c>
    </row>
    <row r="28" spans="1:4" x14ac:dyDescent="0.25">
      <c r="A28" s="2">
        <v>45992</v>
      </c>
      <c r="B28">
        <v>61936</v>
      </c>
      <c r="C28">
        <v>18002</v>
      </c>
      <c r="D28" s="1">
        <f t="shared" si="0"/>
        <v>0.29065486954275382</v>
      </c>
    </row>
    <row r="29" spans="1:4" x14ac:dyDescent="0.25">
      <c r="A29" t="s">
        <v>2</v>
      </c>
      <c r="B29">
        <f>SUM(B2:B28)</f>
        <v>1767043</v>
      </c>
      <c r="C29">
        <f>SUM(C2:C28)</f>
        <v>327132</v>
      </c>
      <c r="D29" s="1">
        <f t="shared" si="0"/>
        <v>0.18512962050159504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F7A6-892C-4C8A-ADB5-829278D5ADB4}">
  <dimension ref="A1:D29"/>
  <sheetViews>
    <sheetView zoomScale="130" zoomScaleNormal="130" workbookViewId="0">
      <selection sqref="A1:XFD1048576"/>
    </sheetView>
  </sheetViews>
  <sheetFormatPr defaultRowHeight="15.75" x14ac:dyDescent="0.25"/>
  <cols>
    <col min="1" max="1" width="11.140625" bestFit="1" customWidth="1"/>
    <col min="2" max="2" width="17.5703125" bestFit="1" customWidth="1"/>
    <col min="3" max="3" width="24.42578125" bestFit="1" customWidth="1"/>
    <col min="4" max="4" width="7" bestFit="1" customWidth="1"/>
  </cols>
  <sheetData>
    <row r="1" spans="1:4" x14ac:dyDescent="0.25">
      <c r="A1" t="s">
        <v>33</v>
      </c>
      <c r="B1" t="s">
        <v>9</v>
      </c>
      <c r="C1" t="s">
        <v>10</v>
      </c>
      <c r="D1" t="s">
        <v>1</v>
      </c>
    </row>
    <row r="2" spans="1:4" x14ac:dyDescent="0.25">
      <c r="A2" s="2">
        <v>45200</v>
      </c>
      <c r="B2">
        <v>106496</v>
      </c>
      <c r="C2">
        <v>15221</v>
      </c>
      <c r="D2" s="1">
        <f t="shared" ref="D2:D29" si="0">C2/B2</f>
        <v>0.14292555588942307</v>
      </c>
    </row>
    <row r="3" spans="1:4" x14ac:dyDescent="0.25">
      <c r="A3" s="2">
        <v>45231</v>
      </c>
      <c r="B3">
        <v>115762</v>
      </c>
      <c r="C3">
        <v>27014</v>
      </c>
      <c r="D3" s="1">
        <f t="shared" si="0"/>
        <v>0.23335809678478256</v>
      </c>
    </row>
    <row r="4" spans="1:4" x14ac:dyDescent="0.25">
      <c r="A4" s="2">
        <v>45261</v>
      </c>
      <c r="B4">
        <v>119552</v>
      </c>
      <c r="C4">
        <v>28427</v>
      </c>
      <c r="D4" s="1">
        <f t="shared" si="0"/>
        <v>0.23777937633832977</v>
      </c>
    </row>
    <row r="5" spans="1:4" x14ac:dyDescent="0.25">
      <c r="A5" s="2">
        <v>45292</v>
      </c>
      <c r="B5">
        <v>109883</v>
      </c>
      <c r="C5">
        <v>24853</v>
      </c>
      <c r="D5" s="1">
        <f t="shared" si="0"/>
        <v>0.22617693364760699</v>
      </c>
    </row>
    <row r="6" spans="1:4" x14ac:dyDescent="0.25">
      <c r="A6" s="2">
        <v>45323</v>
      </c>
      <c r="B6">
        <v>72237</v>
      </c>
      <c r="C6">
        <v>13734</v>
      </c>
      <c r="D6" s="1">
        <f t="shared" si="0"/>
        <v>0.19012417459196809</v>
      </c>
    </row>
    <row r="7" spans="1:4" x14ac:dyDescent="0.25">
      <c r="A7" s="2">
        <v>45352</v>
      </c>
      <c r="B7">
        <v>117017</v>
      </c>
      <c r="C7">
        <v>32038</v>
      </c>
      <c r="D7" s="1">
        <f t="shared" si="0"/>
        <v>0.27378927848090451</v>
      </c>
    </row>
    <row r="8" spans="1:4" x14ac:dyDescent="0.25">
      <c r="A8" s="2">
        <v>45383</v>
      </c>
      <c r="B8">
        <v>109429</v>
      </c>
      <c r="C8">
        <v>29937</v>
      </c>
      <c r="D8" s="1">
        <f t="shared" si="0"/>
        <v>0.27357464657449121</v>
      </c>
    </row>
    <row r="9" spans="1:4" x14ac:dyDescent="0.25">
      <c r="A9" s="2">
        <v>45413</v>
      </c>
      <c r="B9">
        <v>114418</v>
      </c>
      <c r="C9">
        <v>35564</v>
      </c>
      <c r="D9" s="1">
        <f t="shared" si="0"/>
        <v>0.31082521980807215</v>
      </c>
    </row>
    <row r="10" spans="1:4" x14ac:dyDescent="0.25">
      <c r="A10" s="2">
        <v>45444</v>
      </c>
      <c r="B10">
        <v>85563</v>
      </c>
      <c r="C10">
        <v>20826</v>
      </c>
      <c r="D10" s="1">
        <f t="shared" si="0"/>
        <v>0.24339960029451982</v>
      </c>
    </row>
    <row r="11" spans="1:4" x14ac:dyDescent="0.25">
      <c r="A11" s="2">
        <v>45474</v>
      </c>
      <c r="B11">
        <v>75228</v>
      </c>
      <c r="C11">
        <v>13706</v>
      </c>
      <c r="D11" s="1">
        <f t="shared" si="0"/>
        <v>0.18219280055298559</v>
      </c>
    </row>
    <row r="12" spans="1:4" x14ac:dyDescent="0.25">
      <c r="A12" s="2">
        <v>45505</v>
      </c>
      <c r="B12">
        <v>92022</v>
      </c>
      <c r="C12">
        <v>15150</v>
      </c>
      <c r="D12" s="1">
        <f t="shared" si="0"/>
        <v>0.16463454391341201</v>
      </c>
    </row>
    <row r="13" spans="1:4" x14ac:dyDescent="0.25">
      <c r="A13" s="2">
        <v>45536</v>
      </c>
      <c r="B13">
        <v>109676</v>
      </c>
      <c r="C13">
        <v>30360</v>
      </c>
      <c r="D13" s="1">
        <f t="shared" si="0"/>
        <v>0.27681534702213795</v>
      </c>
    </row>
    <row r="14" spans="1:4" x14ac:dyDescent="0.25">
      <c r="A14" s="2">
        <v>45566</v>
      </c>
      <c r="B14">
        <v>95869</v>
      </c>
      <c r="C14">
        <v>27977</v>
      </c>
      <c r="D14" s="1">
        <f t="shared" si="0"/>
        <v>0.29182530327843204</v>
      </c>
    </row>
    <row r="15" spans="1:4" x14ac:dyDescent="0.25">
      <c r="A15" s="2">
        <v>45597</v>
      </c>
      <c r="B15">
        <v>116445</v>
      </c>
      <c r="C15">
        <v>32290</v>
      </c>
      <c r="D15" s="1">
        <f t="shared" si="0"/>
        <v>0.27729829533256045</v>
      </c>
    </row>
    <row r="16" spans="1:4" x14ac:dyDescent="0.25">
      <c r="A16" s="2">
        <v>45627</v>
      </c>
      <c r="B16">
        <v>115779</v>
      </c>
      <c r="C16">
        <v>35853</v>
      </c>
      <c r="D16" s="1">
        <f t="shared" si="0"/>
        <v>0.30966755629259191</v>
      </c>
    </row>
    <row r="17" spans="1:4" x14ac:dyDescent="0.25">
      <c r="A17" s="2">
        <v>45658</v>
      </c>
      <c r="B17">
        <v>84352</v>
      </c>
      <c r="C17">
        <v>24241</v>
      </c>
      <c r="D17" s="1">
        <f t="shared" si="0"/>
        <v>0.28737907814871017</v>
      </c>
    </row>
    <row r="18" spans="1:4" x14ac:dyDescent="0.25">
      <c r="A18" s="2">
        <v>45689</v>
      </c>
      <c r="B18">
        <v>80056</v>
      </c>
      <c r="C18">
        <v>23787</v>
      </c>
      <c r="D18" s="1">
        <f t="shared" si="0"/>
        <v>0.29712950934345955</v>
      </c>
    </row>
    <row r="19" spans="1:4" x14ac:dyDescent="0.25">
      <c r="A19" s="2">
        <v>45717</v>
      </c>
      <c r="B19">
        <v>100017</v>
      </c>
      <c r="C19">
        <v>34859</v>
      </c>
      <c r="D19" s="1">
        <f t="shared" si="0"/>
        <v>0.34853074977253867</v>
      </c>
    </row>
    <row r="20" spans="1:4" x14ac:dyDescent="0.25">
      <c r="A20" s="2">
        <v>45748</v>
      </c>
      <c r="B20">
        <v>146873</v>
      </c>
      <c r="C20">
        <v>53047</v>
      </c>
      <c r="D20" s="1">
        <f t="shared" si="0"/>
        <v>0.36117598197081835</v>
      </c>
    </row>
    <row r="21" spans="1:4" x14ac:dyDescent="0.25">
      <c r="A21" s="2">
        <v>45778</v>
      </c>
      <c r="B21">
        <v>97765</v>
      </c>
      <c r="C21">
        <v>33855</v>
      </c>
      <c r="D21" s="1">
        <f t="shared" si="0"/>
        <v>0.34628957193269577</v>
      </c>
    </row>
    <row r="22" spans="1:4" x14ac:dyDescent="0.25">
      <c r="A22" s="2">
        <v>45809</v>
      </c>
      <c r="B22">
        <v>94287</v>
      </c>
      <c r="C22">
        <v>30023</v>
      </c>
      <c r="D22" s="1">
        <f t="shared" si="0"/>
        <v>0.3184214154655467</v>
      </c>
    </row>
    <row r="23" spans="1:4" x14ac:dyDescent="0.25">
      <c r="A23" s="2">
        <v>45839</v>
      </c>
      <c r="B23">
        <v>75611</v>
      </c>
      <c r="C23">
        <v>17387</v>
      </c>
      <c r="D23" s="1">
        <f t="shared" si="0"/>
        <v>0.22995331367129121</v>
      </c>
    </row>
    <row r="24" spans="1:4" x14ac:dyDescent="0.25">
      <c r="A24" s="2">
        <v>45870</v>
      </c>
      <c r="B24">
        <v>79855</v>
      </c>
      <c r="C24">
        <v>15839</v>
      </c>
      <c r="D24" s="1">
        <f t="shared" si="0"/>
        <v>0.19834700394464969</v>
      </c>
    </row>
    <row r="25" spans="1:4" x14ac:dyDescent="0.25">
      <c r="A25" s="2">
        <v>45901</v>
      </c>
      <c r="B25">
        <v>92947</v>
      </c>
      <c r="C25">
        <v>34462</v>
      </c>
      <c r="D25" s="1">
        <f t="shared" si="0"/>
        <v>0.37077043906742552</v>
      </c>
    </row>
    <row r="26" spans="1:4" x14ac:dyDescent="0.25">
      <c r="A26" s="2">
        <v>45931</v>
      </c>
      <c r="B26">
        <v>105195</v>
      </c>
      <c r="C26">
        <v>36943</v>
      </c>
      <c r="D26" s="1">
        <f t="shared" si="0"/>
        <v>0.35118589286563051</v>
      </c>
    </row>
    <row r="27" spans="1:4" x14ac:dyDescent="0.25">
      <c r="A27" s="2">
        <v>45962</v>
      </c>
      <c r="B27">
        <v>47673</v>
      </c>
      <c r="C27">
        <v>12462</v>
      </c>
      <c r="D27" s="1">
        <f t="shared" si="0"/>
        <v>0.26140582719778493</v>
      </c>
    </row>
    <row r="28" spans="1:4" x14ac:dyDescent="0.25">
      <c r="A28" s="2">
        <v>45992</v>
      </c>
      <c r="B28">
        <v>102454</v>
      </c>
      <c r="C28">
        <v>36968</v>
      </c>
      <c r="D28" s="1">
        <f t="shared" si="0"/>
        <v>0.36082534600894062</v>
      </c>
    </row>
    <row r="29" spans="1:4" x14ac:dyDescent="0.25">
      <c r="A29" t="s">
        <v>2</v>
      </c>
      <c r="B29">
        <f>SUM(B2:B28)</f>
        <v>2662461</v>
      </c>
      <c r="C29">
        <f>SUM(C2:C28)</f>
        <v>736823</v>
      </c>
      <c r="D29" s="1">
        <f t="shared" si="0"/>
        <v>0.27674508659469566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1E49-0E39-4D69-950B-56797B1ADAAE}">
  <dimension ref="A1:D5"/>
  <sheetViews>
    <sheetView zoomScale="145" zoomScaleNormal="145" workbookViewId="0">
      <selection activeCell="B1" sqref="B1"/>
    </sheetView>
  </sheetViews>
  <sheetFormatPr defaultRowHeight="15.75" x14ac:dyDescent="0.25"/>
  <cols>
    <col min="1" max="1" width="6" bestFit="1" customWidth="1"/>
    <col min="2" max="2" width="27.140625" bestFit="1" customWidth="1"/>
    <col min="3" max="3" width="34.140625" bestFit="1" customWidth="1"/>
    <col min="4" max="4" width="8.5703125" bestFit="1" customWidth="1"/>
  </cols>
  <sheetData>
    <row r="1" spans="1:4" x14ac:dyDescent="0.25">
      <c r="A1" t="s">
        <v>0</v>
      </c>
      <c r="B1" t="s">
        <v>11</v>
      </c>
      <c r="C1" t="s">
        <v>12</v>
      </c>
      <c r="D1" t="s">
        <v>1</v>
      </c>
    </row>
    <row r="2" spans="1:4" x14ac:dyDescent="0.25">
      <c r="A2">
        <v>2023</v>
      </c>
      <c r="B2">
        <v>132204</v>
      </c>
      <c r="C2">
        <v>14033</v>
      </c>
      <c r="D2" s="1">
        <f>C2/B2</f>
        <v>0.10614656137484493</v>
      </c>
    </row>
    <row r="3" spans="1:4" x14ac:dyDescent="0.25">
      <c r="A3">
        <v>2024</v>
      </c>
      <c r="B3">
        <v>376407</v>
      </c>
      <c r="C3">
        <v>56592</v>
      </c>
      <c r="D3" s="1">
        <f t="shared" ref="D3:D5" si="0">C3/B3</f>
        <v>0.15034789469908902</v>
      </c>
    </row>
    <row r="4" spans="1:4" x14ac:dyDescent="0.25">
      <c r="A4">
        <v>2025</v>
      </c>
      <c r="B4">
        <v>326583</v>
      </c>
      <c r="C4">
        <v>98570</v>
      </c>
      <c r="D4" s="1">
        <f t="shared" si="0"/>
        <v>0.30182220140056282</v>
      </c>
    </row>
    <row r="5" spans="1:4" x14ac:dyDescent="0.25">
      <c r="A5" t="s">
        <v>2</v>
      </c>
      <c r="B5">
        <f>B2+B3+B4</f>
        <v>835194</v>
      </c>
      <c r="C5">
        <f>C2+C3+C4</f>
        <v>169195</v>
      </c>
      <c r="D5" s="1">
        <f t="shared" si="0"/>
        <v>0.20258167563464297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F9AA2-A43C-402B-8781-9D837168AC16}">
  <dimension ref="A1:D5"/>
  <sheetViews>
    <sheetView zoomScale="145" zoomScaleNormal="145" workbookViewId="0">
      <selection activeCell="B3" sqref="B3"/>
    </sheetView>
  </sheetViews>
  <sheetFormatPr defaultRowHeight="15.75" x14ac:dyDescent="0.25"/>
  <cols>
    <col min="1" max="1" width="6" bestFit="1" customWidth="1"/>
    <col min="2" max="2" width="27.140625" bestFit="1" customWidth="1"/>
    <col min="3" max="3" width="34.140625" bestFit="1" customWidth="1"/>
    <col min="4" max="4" width="7" bestFit="1" customWidth="1"/>
  </cols>
  <sheetData>
    <row r="1" spans="1:4" x14ac:dyDescent="0.25">
      <c r="A1" t="s">
        <v>0</v>
      </c>
      <c r="B1" t="s">
        <v>13</v>
      </c>
      <c r="C1" t="s">
        <v>14</v>
      </c>
      <c r="D1" t="s">
        <v>1</v>
      </c>
    </row>
    <row r="2" spans="1:4" x14ac:dyDescent="0.25">
      <c r="A2">
        <v>2023</v>
      </c>
      <c r="B2">
        <v>31471</v>
      </c>
      <c r="C2">
        <v>4071</v>
      </c>
      <c r="D2" s="1">
        <f>C2/B2</f>
        <v>0.12935718598074417</v>
      </c>
    </row>
    <row r="3" spans="1:4" x14ac:dyDescent="0.25">
      <c r="A3">
        <v>2024</v>
      </c>
      <c r="B3">
        <v>147636</v>
      </c>
      <c r="C3">
        <v>20893</v>
      </c>
      <c r="D3" s="1">
        <f t="shared" ref="D3:D5" si="0">C3/B3</f>
        <v>0.14151697417973935</v>
      </c>
    </row>
    <row r="4" spans="1:4" x14ac:dyDescent="0.25">
      <c r="A4">
        <v>2025</v>
      </c>
      <c r="B4">
        <v>158345</v>
      </c>
      <c r="C4">
        <v>29947</v>
      </c>
      <c r="D4" s="1">
        <f t="shared" si="0"/>
        <v>0.18912501184123276</v>
      </c>
    </row>
    <row r="5" spans="1:4" x14ac:dyDescent="0.25">
      <c r="A5" t="s">
        <v>2</v>
      </c>
      <c r="B5">
        <f>B2+B3+B4</f>
        <v>337452</v>
      </c>
      <c r="C5">
        <f>C2+C3+C4</f>
        <v>54911</v>
      </c>
      <c r="D5" s="1">
        <f t="shared" si="0"/>
        <v>0.16272240200087718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13D6-4FA2-48D8-80B3-2C18CABC0FBE}">
  <dimension ref="A1:D29"/>
  <sheetViews>
    <sheetView zoomScale="130" zoomScaleNormal="130" workbookViewId="0">
      <selection sqref="A1:XFD1048576"/>
    </sheetView>
  </sheetViews>
  <sheetFormatPr defaultRowHeight="15.75" x14ac:dyDescent="0.25"/>
  <cols>
    <col min="1" max="1" width="11.140625" bestFit="1" customWidth="1"/>
    <col min="2" max="2" width="27.140625" bestFit="1" customWidth="1"/>
    <col min="3" max="3" width="34.140625" bestFit="1" customWidth="1"/>
    <col min="4" max="4" width="7" bestFit="1" customWidth="1"/>
  </cols>
  <sheetData>
    <row r="1" spans="1:4" x14ac:dyDescent="0.25">
      <c r="A1" t="s">
        <v>33</v>
      </c>
      <c r="B1" t="s">
        <v>15</v>
      </c>
      <c r="C1" t="s">
        <v>16</v>
      </c>
      <c r="D1" t="s">
        <v>1</v>
      </c>
    </row>
    <row r="2" spans="1:4" x14ac:dyDescent="0.25">
      <c r="A2" s="2">
        <v>45200</v>
      </c>
      <c r="B2">
        <v>37622</v>
      </c>
      <c r="C2">
        <v>3316</v>
      </c>
      <c r="D2" s="1">
        <f t="shared" ref="D2:D29" si="0">C2/B2</f>
        <v>8.8139918133007283E-2</v>
      </c>
    </row>
    <row r="3" spans="1:4" x14ac:dyDescent="0.25">
      <c r="A3" s="2">
        <v>45231</v>
      </c>
      <c r="B3">
        <v>45675</v>
      </c>
      <c r="C3">
        <v>5050</v>
      </c>
      <c r="D3" s="1">
        <f t="shared" si="0"/>
        <v>0.11056376573617953</v>
      </c>
    </row>
    <row r="4" spans="1:4" x14ac:dyDescent="0.25">
      <c r="A4" s="2">
        <v>45261</v>
      </c>
      <c r="B4">
        <v>48907</v>
      </c>
      <c r="C4">
        <v>5667</v>
      </c>
      <c r="D4" s="1">
        <f t="shared" si="0"/>
        <v>0.11587298341750669</v>
      </c>
    </row>
    <row r="5" spans="1:4" x14ac:dyDescent="0.25">
      <c r="A5" s="2">
        <v>45292</v>
      </c>
      <c r="B5">
        <v>41125</v>
      </c>
      <c r="C5">
        <v>3815</v>
      </c>
      <c r="D5" s="1">
        <f t="shared" si="0"/>
        <v>9.2765957446808517E-2</v>
      </c>
    </row>
    <row r="6" spans="1:4" x14ac:dyDescent="0.25">
      <c r="A6" s="2">
        <v>45323</v>
      </c>
      <c r="B6">
        <v>41267</v>
      </c>
      <c r="C6">
        <v>3726</v>
      </c>
      <c r="D6" s="1">
        <f t="shared" si="0"/>
        <v>9.0290062277364483E-2</v>
      </c>
    </row>
    <row r="7" spans="1:4" x14ac:dyDescent="0.25">
      <c r="A7" s="2">
        <v>45352</v>
      </c>
      <c r="B7">
        <v>48555</v>
      </c>
      <c r="C7">
        <v>6360</v>
      </c>
      <c r="D7" s="1">
        <f t="shared" si="0"/>
        <v>0.13098548038307076</v>
      </c>
    </row>
    <row r="8" spans="1:4" x14ac:dyDescent="0.25">
      <c r="A8" s="2">
        <v>45383</v>
      </c>
      <c r="B8">
        <v>14050</v>
      </c>
      <c r="C8">
        <v>3214</v>
      </c>
      <c r="D8" s="1">
        <f t="shared" si="0"/>
        <v>0.2287544483985765</v>
      </c>
    </row>
    <row r="9" spans="1:4" x14ac:dyDescent="0.25">
      <c r="A9" s="2">
        <v>45413</v>
      </c>
      <c r="B9">
        <v>15519</v>
      </c>
      <c r="C9">
        <v>4025</v>
      </c>
      <c r="D9" s="1">
        <f t="shared" si="0"/>
        <v>0.25935949481281012</v>
      </c>
    </row>
    <row r="10" spans="1:4" x14ac:dyDescent="0.25">
      <c r="A10" s="2">
        <v>45444</v>
      </c>
      <c r="B10">
        <v>25233</v>
      </c>
      <c r="C10">
        <v>3444</v>
      </c>
      <c r="D10" s="1">
        <f t="shared" si="0"/>
        <v>0.13648793246938534</v>
      </c>
    </row>
    <row r="11" spans="1:4" x14ac:dyDescent="0.25">
      <c r="A11" s="2">
        <v>45474</v>
      </c>
      <c r="B11">
        <v>20800</v>
      </c>
      <c r="C11">
        <v>2778</v>
      </c>
      <c r="D11" s="1">
        <f t="shared" si="0"/>
        <v>0.13355769230769229</v>
      </c>
    </row>
    <row r="12" spans="1:4" x14ac:dyDescent="0.25">
      <c r="A12" s="2">
        <v>45505</v>
      </c>
      <c r="B12">
        <v>25770</v>
      </c>
      <c r="C12">
        <v>2889</v>
      </c>
      <c r="D12" s="1">
        <f t="shared" si="0"/>
        <v>0.11210710128055879</v>
      </c>
    </row>
    <row r="13" spans="1:4" x14ac:dyDescent="0.25">
      <c r="A13" s="2">
        <v>45536</v>
      </c>
      <c r="B13">
        <v>35987</v>
      </c>
      <c r="C13">
        <v>5498</v>
      </c>
      <c r="D13" s="1">
        <f t="shared" si="0"/>
        <v>0.15277739183594075</v>
      </c>
    </row>
    <row r="14" spans="1:4" x14ac:dyDescent="0.25">
      <c r="A14" s="2">
        <v>45566</v>
      </c>
      <c r="B14">
        <v>33201</v>
      </c>
      <c r="C14">
        <v>6126</v>
      </c>
      <c r="D14" s="1">
        <f t="shared" si="0"/>
        <v>0.18451251468329266</v>
      </c>
    </row>
    <row r="15" spans="1:4" x14ac:dyDescent="0.25">
      <c r="A15" s="2">
        <v>45597</v>
      </c>
      <c r="B15">
        <v>35521</v>
      </c>
      <c r="C15">
        <v>6875</v>
      </c>
      <c r="D15" s="1">
        <f t="shared" si="0"/>
        <v>0.19354747895611046</v>
      </c>
    </row>
    <row r="16" spans="1:4" x14ac:dyDescent="0.25">
      <c r="A16" s="2">
        <v>45627</v>
      </c>
      <c r="B16">
        <v>39379</v>
      </c>
      <c r="C16">
        <v>7842</v>
      </c>
      <c r="D16" s="1">
        <f t="shared" si="0"/>
        <v>0.19914167449655909</v>
      </c>
    </row>
    <row r="17" spans="1:4" x14ac:dyDescent="0.25">
      <c r="A17" s="2">
        <v>45658</v>
      </c>
      <c r="B17">
        <v>21619</v>
      </c>
      <c r="C17">
        <v>4258</v>
      </c>
      <c r="D17" s="1">
        <f t="shared" si="0"/>
        <v>0.19695638096119156</v>
      </c>
    </row>
    <row r="18" spans="1:4" x14ac:dyDescent="0.25">
      <c r="A18" s="2">
        <v>45689</v>
      </c>
      <c r="B18">
        <v>22094</v>
      </c>
      <c r="C18">
        <v>5695</v>
      </c>
      <c r="D18" s="1">
        <f t="shared" si="0"/>
        <v>0.2577622884040916</v>
      </c>
    </row>
    <row r="19" spans="1:4" x14ac:dyDescent="0.25">
      <c r="A19" s="2">
        <v>45717</v>
      </c>
      <c r="B19">
        <v>29234</v>
      </c>
      <c r="C19">
        <v>8880</v>
      </c>
      <c r="D19" s="1">
        <f t="shared" si="0"/>
        <v>0.30375590066361086</v>
      </c>
    </row>
    <row r="20" spans="1:4" x14ac:dyDescent="0.25">
      <c r="A20" s="2">
        <v>45748</v>
      </c>
      <c r="B20">
        <v>29369</v>
      </c>
      <c r="C20">
        <v>7872</v>
      </c>
      <c r="D20" s="1">
        <f t="shared" si="0"/>
        <v>0.26803772685484695</v>
      </c>
    </row>
    <row r="21" spans="1:4" x14ac:dyDescent="0.25">
      <c r="A21" s="2">
        <v>45778</v>
      </c>
      <c r="B21">
        <v>28146</v>
      </c>
      <c r="C21">
        <v>8375</v>
      </c>
      <c r="D21" s="1">
        <f t="shared" si="0"/>
        <v>0.29755560292759187</v>
      </c>
    </row>
    <row r="22" spans="1:4" x14ac:dyDescent="0.25">
      <c r="A22" s="2">
        <v>45809</v>
      </c>
      <c r="B22">
        <v>26383</v>
      </c>
      <c r="C22">
        <v>6828</v>
      </c>
      <c r="D22" s="1">
        <f t="shared" si="0"/>
        <v>0.25880301709434106</v>
      </c>
    </row>
    <row r="23" spans="1:4" x14ac:dyDescent="0.25">
      <c r="A23" s="2">
        <v>45839</v>
      </c>
      <c r="B23">
        <v>20568</v>
      </c>
      <c r="C23">
        <v>4538</v>
      </c>
      <c r="D23" s="1">
        <f t="shared" si="0"/>
        <v>0.22063399455464799</v>
      </c>
    </row>
    <row r="24" spans="1:4" x14ac:dyDescent="0.25">
      <c r="A24" s="2">
        <v>45870</v>
      </c>
      <c r="B24">
        <v>23101</v>
      </c>
      <c r="C24">
        <v>5345</v>
      </c>
      <c r="D24" s="1">
        <f t="shared" si="0"/>
        <v>0.23137526514003723</v>
      </c>
    </row>
    <row r="25" spans="1:4" x14ac:dyDescent="0.25">
      <c r="A25" s="2">
        <v>45901</v>
      </c>
      <c r="B25">
        <v>33980</v>
      </c>
      <c r="C25">
        <v>12165</v>
      </c>
      <c r="D25" s="1">
        <f t="shared" si="0"/>
        <v>0.35800470865214834</v>
      </c>
    </row>
    <row r="26" spans="1:4" x14ac:dyDescent="0.25">
      <c r="A26" s="2">
        <v>45931</v>
      </c>
      <c r="B26">
        <v>35108</v>
      </c>
      <c r="C26">
        <v>13900</v>
      </c>
      <c r="D26" s="1">
        <f t="shared" si="0"/>
        <v>0.395921157570924</v>
      </c>
    </row>
    <row r="27" spans="1:4" x14ac:dyDescent="0.25">
      <c r="A27" s="2">
        <v>45962</v>
      </c>
      <c r="B27">
        <v>26906</v>
      </c>
      <c r="C27">
        <v>9808</v>
      </c>
      <c r="D27" s="1">
        <f t="shared" si="0"/>
        <v>0.36452835798706607</v>
      </c>
    </row>
    <row r="28" spans="1:4" x14ac:dyDescent="0.25">
      <c r="A28" s="2">
        <v>45992</v>
      </c>
      <c r="B28">
        <v>30075</v>
      </c>
      <c r="C28">
        <v>10906</v>
      </c>
      <c r="D28" s="1">
        <f t="shared" si="0"/>
        <v>0.36262676641729008</v>
      </c>
    </row>
    <row r="29" spans="1:4" x14ac:dyDescent="0.25">
      <c r="A29" t="s">
        <v>2</v>
      </c>
      <c r="B29">
        <f>SUM(B2:B28)</f>
        <v>835194</v>
      </c>
      <c r="C29">
        <f>SUM(C2:C28)</f>
        <v>169195</v>
      </c>
      <c r="D29" s="1">
        <f t="shared" si="0"/>
        <v>0.20258167563464297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E76C7-DC4A-4ACA-8FF1-7F390820AEA8}">
  <dimension ref="A1:D29"/>
  <sheetViews>
    <sheetView zoomScale="130" zoomScaleNormal="130" workbookViewId="0">
      <selection activeCell="B10" sqref="B10"/>
    </sheetView>
  </sheetViews>
  <sheetFormatPr defaultRowHeight="15.75" x14ac:dyDescent="0.25"/>
  <cols>
    <col min="1" max="1" width="11.140625" bestFit="1" customWidth="1"/>
    <col min="2" max="2" width="27.140625" bestFit="1" customWidth="1"/>
    <col min="3" max="3" width="34.140625" bestFit="1" customWidth="1"/>
    <col min="4" max="4" width="7" bestFit="1" customWidth="1"/>
  </cols>
  <sheetData>
    <row r="1" spans="1:4" x14ac:dyDescent="0.25">
      <c r="A1" t="s">
        <v>33</v>
      </c>
      <c r="B1" t="s">
        <v>17</v>
      </c>
      <c r="C1" t="s">
        <v>18</v>
      </c>
      <c r="D1" t="s">
        <v>1</v>
      </c>
    </row>
    <row r="2" spans="1:4" x14ac:dyDescent="0.25">
      <c r="A2" s="2">
        <v>45200</v>
      </c>
      <c r="B2">
        <v>10389</v>
      </c>
      <c r="C2">
        <v>1085</v>
      </c>
      <c r="D2" s="1">
        <f t="shared" ref="D2:D29" si="0">C2/B2</f>
        <v>0.10443738569640966</v>
      </c>
    </row>
    <row r="3" spans="1:4" x14ac:dyDescent="0.25">
      <c r="A3" s="2">
        <v>45231</v>
      </c>
      <c r="B3">
        <v>10684</v>
      </c>
      <c r="C3">
        <v>1478</v>
      </c>
      <c r="D3" s="1">
        <f t="shared" si="0"/>
        <v>0.13833770123549233</v>
      </c>
    </row>
    <row r="4" spans="1:4" x14ac:dyDescent="0.25">
      <c r="A4" s="2">
        <v>45261</v>
      </c>
      <c r="B4">
        <v>10398</v>
      </c>
      <c r="C4">
        <v>1508</v>
      </c>
      <c r="D4" s="1">
        <f t="shared" si="0"/>
        <v>0.14502788997884208</v>
      </c>
    </row>
    <row r="5" spans="1:4" x14ac:dyDescent="0.25">
      <c r="A5" s="2">
        <v>45292</v>
      </c>
      <c r="B5">
        <v>9205</v>
      </c>
      <c r="C5">
        <v>1191</v>
      </c>
      <c r="D5" s="1">
        <f t="shared" si="0"/>
        <v>0.1293862031504617</v>
      </c>
    </row>
    <row r="6" spans="1:4" x14ac:dyDescent="0.25">
      <c r="A6" s="2">
        <v>45323</v>
      </c>
      <c r="B6">
        <v>9003</v>
      </c>
      <c r="C6">
        <v>884</v>
      </c>
      <c r="D6" s="1">
        <f t="shared" si="0"/>
        <v>9.8189492391425076E-2</v>
      </c>
    </row>
    <row r="7" spans="1:4" x14ac:dyDescent="0.25">
      <c r="A7" s="2">
        <v>45352</v>
      </c>
      <c r="B7">
        <v>10628</v>
      </c>
      <c r="C7">
        <v>1770</v>
      </c>
      <c r="D7" s="1">
        <f t="shared" si="0"/>
        <v>0.16654121189311252</v>
      </c>
    </row>
    <row r="8" spans="1:4" x14ac:dyDescent="0.25">
      <c r="A8" s="2">
        <v>45383</v>
      </c>
      <c r="B8">
        <v>10965</v>
      </c>
      <c r="C8">
        <v>1869</v>
      </c>
      <c r="D8" s="1">
        <f t="shared" si="0"/>
        <v>0.1704514363885089</v>
      </c>
    </row>
    <row r="9" spans="1:4" x14ac:dyDescent="0.25">
      <c r="A9" s="2">
        <v>45413</v>
      </c>
      <c r="B9">
        <v>11458</v>
      </c>
      <c r="C9">
        <v>2208</v>
      </c>
      <c r="D9" s="1">
        <f t="shared" si="0"/>
        <v>0.19270378774655264</v>
      </c>
    </row>
    <row r="10" spans="1:4" x14ac:dyDescent="0.25">
      <c r="A10" s="2">
        <v>45444</v>
      </c>
      <c r="B10">
        <v>12311</v>
      </c>
      <c r="C10">
        <v>1549</v>
      </c>
      <c r="D10" s="1">
        <f t="shared" si="0"/>
        <v>0.12582243522053449</v>
      </c>
    </row>
    <row r="11" spans="1:4" x14ac:dyDescent="0.25">
      <c r="A11" s="2">
        <v>45474</v>
      </c>
      <c r="B11">
        <v>11518</v>
      </c>
      <c r="C11">
        <v>852</v>
      </c>
      <c r="D11" s="1">
        <f t="shared" si="0"/>
        <v>7.3971175551310997E-2</v>
      </c>
    </row>
    <row r="12" spans="1:4" x14ac:dyDescent="0.25">
      <c r="A12" s="2">
        <v>45505</v>
      </c>
      <c r="B12">
        <v>14745</v>
      </c>
      <c r="C12">
        <v>988</v>
      </c>
      <c r="D12" s="1">
        <f t="shared" si="0"/>
        <v>6.7005764665988468E-2</v>
      </c>
    </row>
    <row r="13" spans="1:4" x14ac:dyDescent="0.25">
      <c r="A13" s="2">
        <v>45536</v>
      </c>
      <c r="B13">
        <v>14435</v>
      </c>
      <c r="C13">
        <v>2266</v>
      </c>
      <c r="D13" s="1">
        <f t="shared" si="0"/>
        <v>0.15697956356078974</v>
      </c>
    </row>
    <row r="14" spans="1:4" x14ac:dyDescent="0.25">
      <c r="A14" s="2">
        <v>45566</v>
      </c>
      <c r="B14">
        <v>13452</v>
      </c>
      <c r="C14">
        <v>2082</v>
      </c>
      <c r="D14" s="1">
        <f t="shared" si="0"/>
        <v>0.15477252453166815</v>
      </c>
    </row>
    <row r="15" spans="1:4" x14ac:dyDescent="0.25">
      <c r="A15" s="2">
        <v>45597</v>
      </c>
      <c r="B15">
        <v>16159</v>
      </c>
      <c r="C15">
        <v>2343</v>
      </c>
      <c r="D15" s="1">
        <f t="shared" si="0"/>
        <v>0.14499659632402995</v>
      </c>
    </row>
    <row r="16" spans="1:4" x14ac:dyDescent="0.25">
      <c r="A16" s="2">
        <v>45627</v>
      </c>
      <c r="B16">
        <v>13757</v>
      </c>
      <c r="C16">
        <v>2891</v>
      </c>
      <c r="D16" s="1">
        <f t="shared" si="0"/>
        <v>0.21014756124154976</v>
      </c>
    </row>
    <row r="17" spans="1:4" x14ac:dyDescent="0.25">
      <c r="A17" s="2">
        <v>45658</v>
      </c>
      <c r="B17">
        <v>10939</v>
      </c>
      <c r="C17">
        <v>1895</v>
      </c>
      <c r="D17" s="1">
        <f t="shared" si="0"/>
        <v>0.17323338513575282</v>
      </c>
    </row>
    <row r="18" spans="1:4" x14ac:dyDescent="0.25">
      <c r="A18" s="2">
        <v>45689</v>
      </c>
      <c r="B18">
        <v>10140</v>
      </c>
      <c r="C18">
        <v>1890</v>
      </c>
      <c r="D18" s="1">
        <f t="shared" si="0"/>
        <v>0.18639053254437871</v>
      </c>
    </row>
    <row r="19" spans="1:4" x14ac:dyDescent="0.25">
      <c r="A19" s="2">
        <v>45717</v>
      </c>
      <c r="B19">
        <v>12206</v>
      </c>
      <c r="C19">
        <v>2716</v>
      </c>
      <c r="D19" s="1">
        <f t="shared" si="0"/>
        <v>0.22251351794199575</v>
      </c>
    </row>
    <row r="20" spans="1:4" x14ac:dyDescent="0.25">
      <c r="A20" s="2">
        <v>45748</v>
      </c>
      <c r="B20">
        <v>14381</v>
      </c>
      <c r="C20">
        <v>2705</v>
      </c>
      <c r="D20" s="1">
        <f t="shared" si="0"/>
        <v>0.18809540365760377</v>
      </c>
    </row>
    <row r="21" spans="1:4" x14ac:dyDescent="0.25">
      <c r="A21" s="2">
        <v>45778</v>
      </c>
      <c r="B21">
        <v>14841</v>
      </c>
      <c r="C21">
        <v>2799</v>
      </c>
      <c r="D21" s="1">
        <f t="shared" si="0"/>
        <v>0.18859915100060642</v>
      </c>
    </row>
    <row r="22" spans="1:4" x14ac:dyDescent="0.25">
      <c r="A22" s="2">
        <v>45809</v>
      </c>
      <c r="B22">
        <v>15133</v>
      </c>
      <c r="C22">
        <v>2937</v>
      </c>
      <c r="D22" s="1">
        <f t="shared" si="0"/>
        <v>0.19407916473931144</v>
      </c>
    </row>
    <row r="23" spans="1:4" x14ac:dyDescent="0.25">
      <c r="A23" s="2">
        <v>45839</v>
      </c>
      <c r="B23">
        <v>12901</v>
      </c>
      <c r="C23">
        <v>1563</v>
      </c>
      <c r="D23" s="1">
        <f t="shared" si="0"/>
        <v>0.12115339896132082</v>
      </c>
    </row>
    <row r="24" spans="1:4" x14ac:dyDescent="0.25">
      <c r="A24" s="2">
        <v>45870</v>
      </c>
      <c r="B24">
        <v>14388</v>
      </c>
      <c r="C24">
        <v>1441</v>
      </c>
      <c r="D24" s="1">
        <f t="shared" si="0"/>
        <v>0.10015290519877676</v>
      </c>
    </row>
    <row r="25" spans="1:4" x14ac:dyDescent="0.25">
      <c r="A25" s="2">
        <v>45901</v>
      </c>
      <c r="B25">
        <v>12929</v>
      </c>
      <c r="C25">
        <v>3435</v>
      </c>
      <c r="D25" s="1">
        <f t="shared" si="0"/>
        <v>0.26568180060329494</v>
      </c>
    </row>
    <row r="26" spans="1:4" x14ac:dyDescent="0.25">
      <c r="A26" s="2">
        <v>45931</v>
      </c>
      <c r="B26">
        <v>15782</v>
      </c>
      <c r="C26">
        <v>4250</v>
      </c>
      <c r="D26" s="1">
        <f t="shared" si="0"/>
        <v>0.26929413255607654</v>
      </c>
    </row>
    <row r="27" spans="1:4" x14ac:dyDescent="0.25">
      <c r="A27" s="2">
        <v>45962</v>
      </c>
      <c r="B27">
        <v>11433</v>
      </c>
      <c r="C27">
        <v>2029</v>
      </c>
      <c r="D27" s="1">
        <f t="shared" si="0"/>
        <v>0.17746873086678913</v>
      </c>
    </row>
    <row r="28" spans="1:4" x14ac:dyDescent="0.25">
      <c r="A28" s="2">
        <v>45992</v>
      </c>
      <c r="B28">
        <v>13272</v>
      </c>
      <c r="C28">
        <v>2287</v>
      </c>
      <c r="D28" s="1">
        <f t="shared" si="0"/>
        <v>0.17231766124171188</v>
      </c>
    </row>
    <row r="29" spans="1:4" x14ac:dyDescent="0.25">
      <c r="A29" t="s">
        <v>2</v>
      </c>
      <c r="B29">
        <f>SUM(B2:B28)</f>
        <v>337452</v>
      </c>
      <c r="C29">
        <f>SUM(C2:C28)</f>
        <v>54911</v>
      </c>
      <c r="D29" s="1">
        <f t="shared" si="0"/>
        <v>0.16272240200087718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9A4D-FB0F-459E-B2BE-B9C8D2F5A5FC}">
  <dimension ref="A1:D5"/>
  <sheetViews>
    <sheetView zoomScale="130" zoomScaleNormal="130" workbookViewId="0">
      <selection activeCell="E23" sqref="E23"/>
    </sheetView>
  </sheetViews>
  <sheetFormatPr defaultRowHeight="15.75" x14ac:dyDescent="0.25"/>
  <cols>
    <col min="1" max="1" width="6" bestFit="1" customWidth="1"/>
    <col min="2" max="2" width="27.140625" bestFit="1" customWidth="1"/>
    <col min="3" max="3" width="34.140625" bestFit="1" customWidth="1"/>
    <col min="4" max="4" width="8.5703125" bestFit="1" customWidth="1"/>
  </cols>
  <sheetData>
    <row r="1" spans="1:4" x14ac:dyDescent="0.25">
      <c r="A1" t="s">
        <v>0</v>
      </c>
      <c r="B1" t="s">
        <v>19</v>
      </c>
      <c r="C1" t="s">
        <v>20</v>
      </c>
      <c r="D1" t="s">
        <v>1</v>
      </c>
    </row>
    <row r="2" spans="1:4" x14ac:dyDescent="0.25">
      <c r="A2">
        <v>2023</v>
      </c>
      <c r="B2">
        <v>114414</v>
      </c>
      <c r="C2">
        <v>13610</v>
      </c>
      <c r="D2" s="1">
        <f>C2/B2</f>
        <v>0.11895397416400091</v>
      </c>
    </row>
    <row r="3" spans="1:4" x14ac:dyDescent="0.25">
      <c r="A3">
        <v>2024</v>
      </c>
      <c r="B3">
        <v>450844</v>
      </c>
      <c r="C3">
        <v>74725</v>
      </c>
      <c r="D3" s="1">
        <f t="shared" ref="D3:D5" si="0">C3/B3</f>
        <v>0.1657446921773385</v>
      </c>
    </row>
    <row r="4" spans="1:4" x14ac:dyDescent="0.25">
      <c r="A4">
        <v>2025</v>
      </c>
      <c r="B4">
        <v>360057</v>
      </c>
      <c r="C4">
        <v>69003</v>
      </c>
      <c r="D4" s="1">
        <f t="shared" si="0"/>
        <v>0.19164465626275839</v>
      </c>
    </row>
    <row r="5" spans="1:4" x14ac:dyDescent="0.25">
      <c r="A5" t="s">
        <v>2</v>
      </c>
      <c r="B5">
        <f>B2+B3+B4</f>
        <v>925315</v>
      </c>
      <c r="C5">
        <f>C2+C3+C4</f>
        <v>157338</v>
      </c>
      <c r="D5" s="1">
        <f t="shared" si="0"/>
        <v>0.17003723056472661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BACE-BC83-482C-B85E-E4E77BC8B6B0}">
  <dimension ref="A1:D5"/>
  <sheetViews>
    <sheetView zoomScale="130" zoomScaleNormal="130" workbookViewId="0">
      <selection activeCell="B1" sqref="B1"/>
    </sheetView>
  </sheetViews>
  <sheetFormatPr defaultRowHeight="15.75" x14ac:dyDescent="0.25"/>
  <cols>
    <col min="1" max="1" width="6" bestFit="1" customWidth="1"/>
    <col min="2" max="2" width="27.140625" bestFit="1" customWidth="1"/>
    <col min="3" max="3" width="34.140625" bestFit="1" customWidth="1"/>
    <col min="4" max="4" width="8.5703125" bestFit="1" customWidth="1"/>
  </cols>
  <sheetData>
    <row r="1" spans="1:4" x14ac:dyDescent="0.25">
      <c r="A1" t="s">
        <v>0</v>
      </c>
      <c r="B1" t="s">
        <v>21</v>
      </c>
      <c r="C1" t="s">
        <v>22</v>
      </c>
      <c r="D1" t="s">
        <v>1</v>
      </c>
    </row>
    <row r="2" spans="1:4" x14ac:dyDescent="0.25">
      <c r="A2">
        <v>2023</v>
      </c>
      <c r="B2">
        <v>310339</v>
      </c>
      <c r="C2">
        <v>66591</v>
      </c>
      <c r="D2" s="1">
        <f>C2/B2</f>
        <v>0.21457502924221578</v>
      </c>
    </row>
    <row r="3" spans="1:4" x14ac:dyDescent="0.25">
      <c r="A3">
        <v>2024</v>
      </c>
      <c r="B3">
        <v>1065930</v>
      </c>
      <c r="C3">
        <v>291395</v>
      </c>
      <c r="D3" s="1">
        <f t="shared" ref="D3:D5" si="0">C3/B3</f>
        <v>0.27337160976799602</v>
      </c>
    </row>
    <row r="4" spans="1:4" x14ac:dyDescent="0.25">
      <c r="A4">
        <v>2025</v>
      </c>
      <c r="B4">
        <v>948740</v>
      </c>
      <c r="C4">
        <v>323926</v>
      </c>
      <c r="D4" s="1">
        <f t="shared" si="0"/>
        <v>0.34142757762927672</v>
      </c>
    </row>
    <row r="5" spans="1:4" x14ac:dyDescent="0.25">
      <c r="A5" t="s">
        <v>2</v>
      </c>
      <c r="B5">
        <f>B2+B3+B4</f>
        <v>2325009</v>
      </c>
      <c r="C5">
        <f>C2+C3+C4</f>
        <v>681912</v>
      </c>
      <c r="D5" s="1">
        <f t="shared" si="0"/>
        <v>0.29329434853800568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E617-9A65-4860-923D-270538E16942}">
  <dimension ref="A1:D29"/>
  <sheetViews>
    <sheetView zoomScale="130" zoomScaleNormal="130" workbookViewId="0">
      <selection sqref="A1:XFD1048576"/>
    </sheetView>
  </sheetViews>
  <sheetFormatPr defaultRowHeight="15.75" x14ac:dyDescent="0.25"/>
  <cols>
    <col min="1" max="1" width="11.140625" bestFit="1" customWidth="1"/>
    <col min="2" max="2" width="27.140625" bestFit="1" customWidth="1"/>
    <col min="3" max="3" width="34.140625" bestFit="1" customWidth="1"/>
    <col min="4" max="4" width="7" bestFit="1" customWidth="1"/>
  </cols>
  <sheetData>
    <row r="1" spans="1:4" x14ac:dyDescent="0.25">
      <c r="A1" t="s">
        <v>33</v>
      </c>
      <c r="B1" t="s">
        <v>23</v>
      </c>
      <c r="C1" t="s">
        <v>24</v>
      </c>
      <c r="D1" t="s">
        <v>1</v>
      </c>
    </row>
    <row r="2" spans="1:4" x14ac:dyDescent="0.25">
      <c r="A2" s="2">
        <v>45200</v>
      </c>
      <c r="B2">
        <v>36052</v>
      </c>
      <c r="C2">
        <v>3651</v>
      </c>
      <c r="D2" s="1">
        <f t="shared" ref="D2:D29" si="0">C2/B2</f>
        <v>0.10127038721846222</v>
      </c>
    </row>
    <row r="3" spans="1:4" x14ac:dyDescent="0.25">
      <c r="A3" s="2">
        <v>45231</v>
      </c>
      <c r="B3">
        <v>39384</v>
      </c>
      <c r="C3">
        <v>5043</v>
      </c>
      <c r="D3" s="1">
        <f t="shared" si="0"/>
        <v>0.12804692260816575</v>
      </c>
    </row>
    <row r="4" spans="1:4" x14ac:dyDescent="0.25">
      <c r="A4" s="2">
        <v>45261</v>
      </c>
      <c r="B4">
        <v>38978</v>
      </c>
      <c r="C4">
        <v>4916</v>
      </c>
      <c r="D4" s="1">
        <f t="shared" si="0"/>
        <v>0.12612242803632817</v>
      </c>
    </row>
    <row r="5" spans="1:4" x14ac:dyDescent="0.25">
      <c r="A5" s="2">
        <v>45292</v>
      </c>
      <c r="B5">
        <v>37208</v>
      </c>
      <c r="C5">
        <v>4801</v>
      </c>
      <c r="D5" s="1">
        <f t="shared" si="0"/>
        <v>0.12903139109868844</v>
      </c>
    </row>
    <row r="6" spans="1:4" x14ac:dyDescent="0.25">
      <c r="A6" s="2">
        <v>45323</v>
      </c>
      <c r="B6">
        <v>30383</v>
      </c>
      <c r="C6">
        <v>3171</v>
      </c>
      <c r="D6" s="1">
        <f t="shared" si="0"/>
        <v>0.10436757397228713</v>
      </c>
    </row>
    <row r="7" spans="1:4" x14ac:dyDescent="0.25">
      <c r="A7" s="2">
        <v>45352</v>
      </c>
      <c r="B7">
        <v>38707</v>
      </c>
      <c r="C7">
        <v>6272</v>
      </c>
      <c r="D7" s="1">
        <f t="shared" si="0"/>
        <v>0.16203787428630481</v>
      </c>
    </row>
    <row r="8" spans="1:4" x14ac:dyDescent="0.25">
      <c r="A8" s="2">
        <v>45383</v>
      </c>
      <c r="B8">
        <v>28288</v>
      </c>
      <c r="C8">
        <v>5459</v>
      </c>
      <c r="D8" s="1">
        <f t="shared" si="0"/>
        <v>0.19297935520361992</v>
      </c>
    </row>
    <row r="9" spans="1:4" x14ac:dyDescent="0.25">
      <c r="A9" s="2">
        <v>45413</v>
      </c>
      <c r="B9">
        <v>30254</v>
      </c>
      <c r="C9">
        <v>6334</v>
      </c>
      <c r="D9" s="1">
        <f t="shared" si="0"/>
        <v>0.2093607456865208</v>
      </c>
    </row>
    <row r="10" spans="1:4" x14ac:dyDescent="0.25">
      <c r="A10" s="2">
        <v>45444</v>
      </c>
      <c r="B10">
        <v>28483</v>
      </c>
      <c r="C10">
        <v>4754</v>
      </c>
      <c r="D10" s="1">
        <f t="shared" si="0"/>
        <v>0.16690657585226276</v>
      </c>
    </row>
    <row r="11" spans="1:4" x14ac:dyDescent="0.25">
      <c r="A11" s="2">
        <v>45474</v>
      </c>
      <c r="B11">
        <v>26662</v>
      </c>
      <c r="C11">
        <v>3579</v>
      </c>
      <c r="D11" s="1">
        <f t="shared" si="0"/>
        <v>0.13423599129847724</v>
      </c>
    </row>
    <row r="12" spans="1:4" x14ac:dyDescent="0.25">
      <c r="A12" s="2">
        <v>45505</v>
      </c>
      <c r="B12">
        <v>27688</v>
      </c>
      <c r="C12">
        <v>3543</v>
      </c>
      <c r="D12" s="1">
        <f t="shared" si="0"/>
        <v>0.12796157180005779</v>
      </c>
    </row>
    <row r="13" spans="1:4" x14ac:dyDescent="0.25">
      <c r="A13" s="2">
        <v>45536</v>
      </c>
      <c r="B13">
        <v>54433</v>
      </c>
      <c r="C13">
        <v>10443</v>
      </c>
      <c r="D13" s="1">
        <f t="shared" si="0"/>
        <v>0.19185053184649017</v>
      </c>
    </row>
    <row r="14" spans="1:4" x14ac:dyDescent="0.25">
      <c r="A14" s="2">
        <v>45566</v>
      </c>
      <c r="B14">
        <v>28782</v>
      </c>
      <c r="C14">
        <v>5382</v>
      </c>
      <c r="D14" s="1">
        <f t="shared" si="0"/>
        <v>0.18699186991869918</v>
      </c>
    </row>
    <row r="15" spans="1:4" x14ac:dyDescent="0.25">
      <c r="A15" s="2">
        <v>45597</v>
      </c>
      <c r="B15">
        <v>63327</v>
      </c>
      <c r="C15">
        <v>10961</v>
      </c>
      <c r="D15" s="1">
        <f t="shared" si="0"/>
        <v>0.17308572962559413</v>
      </c>
    </row>
    <row r="16" spans="1:4" x14ac:dyDescent="0.25">
      <c r="A16" s="2">
        <v>45627</v>
      </c>
      <c r="B16">
        <v>56629</v>
      </c>
      <c r="C16">
        <v>10026</v>
      </c>
      <c r="D16" s="1">
        <f t="shared" si="0"/>
        <v>0.17704709601087781</v>
      </c>
    </row>
    <row r="17" spans="1:4" x14ac:dyDescent="0.25">
      <c r="A17" s="2">
        <v>45658</v>
      </c>
      <c r="B17">
        <v>26085</v>
      </c>
      <c r="C17">
        <v>4124</v>
      </c>
      <c r="D17" s="1">
        <f t="shared" si="0"/>
        <v>0.15809852405597086</v>
      </c>
    </row>
    <row r="18" spans="1:4" x14ac:dyDescent="0.25">
      <c r="A18" s="2">
        <v>45689</v>
      </c>
      <c r="B18">
        <v>25676</v>
      </c>
      <c r="C18">
        <v>4592</v>
      </c>
      <c r="D18" s="1">
        <f t="shared" si="0"/>
        <v>0.17884405670665213</v>
      </c>
    </row>
    <row r="19" spans="1:4" x14ac:dyDescent="0.25">
      <c r="A19" s="2">
        <v>45717</v>
      </c>
      <c r="B19">
        <v>32253</v>
      </c>
      <c r="C19">
        <v>6673</v>
      </c>
      <c r="D19" s="1">
        <f t="shared" si="0"/>
        <v>0.20689548259076676</v>
      </c>
    </row>
    <row r="20" spans="1:4" x14ac:dyDescent="0.25">
      <c r="A20" s="2">
        <v>45748</v>
      </c>
      <c r="B20">
        <v>34047</v>
      </c>
      <c r="C20">
        <v>6586</v>
      </c>
      <c r="D20" s="1">
        <f t="shared" si="0"/>
        <v>0.19343848209827591</v>
      </c>
    </row>
    <row r="21" spans="1:4" x14ac:dyDescent="0.25">
      <c r="A21" s="2">
        <v>45778</v>
      </c>
      <c r="B21">
        <v>32009</v>
      </c>
      <c r="C21">
        <v>6596</v>
      </c>
      <c r="D21" s="1">
        <f t="shared" si="0"/>
        <v>0.20606704364397513</v>
      </c>
    </row>
    <row r="22" spans="1:4" x14ac:dyDescent="0.25">
      <c r="A22" s="2">
        <v>45809</v>
      </c>
      <c r="B22">
        <v>30017</v>
      </c>
      <c r="C22">
        <v>5807</v>
      </c>
      <c r="D22" s="1">
        <f t="shared" si="0"/>
        <v>0.19345704101009428</v>
      </c>
    </row>
    <row r="23" spans="1:4" x14ac:dyDescent="0.25">
      <c r="A23" s="2">
        <v>45839</v>
      </c>
      <c r="B23">
        <v>28640</v>
      </c>
      <c r="C23">
        <v>4546</v>
      </c>
      <c r="D23" s="1">
        <f t="shared" si="0"/>
        <v>0.1587290502793296</v>
      </c>
    </row>
    <row r="24" spans="1:4" x14ac:dyDescent="0.25">
      <c r="A24" s="2">
        <v>45870</v>
      </c>
      <c r="B24">
        <v>29551</v>
      </c>
      <c r="C24">
        <v>3857</v>
      </c>
      <c r="D24" s="1">
        <f t="shared" si="0"/>
        <v>0.13052011776251227</v>
      </c>
    </row>
    <row r="25" spans="1:4" x14ac:dyDescent="0.25">
      <c r="A25" s="2">
        <v>45901</v>
      </c>
      <c r="B25">
        <v>31191</v>
      </c>
      <c r="C25">
        <v>6525</v>
      </c>
      <c r="D25" s="1">
        <f t="shared" si="0"/>
        <v>0.20919496008463981</v>
      </c>
    </row>
    <row r="26" spans="1:4" x14ac:dyDescent="0.25">
      <c r="A26" s="2">
        <v>45931</v>
      </c>
      <c r="B26">
        <v>32156</v>
      </c>
      <c r="C26">
        <v>6657</v>
      </c>
      <c r="D26" s="1">
        <f t="shared" si="0"/>
        <v>0.20702201766388853</v>
      </c>
    </row>
    <row r="27" spans="1:4" x14ac:dyDescent="0.25">
      <c r="A27" s="2">
        <v>45962</v>
      </c>
      <c r="B27">
        <v>26571</v>
      </c>
      <c r="C27">
        <v>5944</v>
      </c>
      <c r="D27" s="1">
        <f t="shared" si="0"/>
        <v>0.22370253283655112</v>
      </c>
    </row>
    <row r="28" spans="1:4" x14ac:dyDescent="0.25">
      <c r="A28" s="2">
        <v>45992</v>
      </c>
      <c r="B28">
        <v>31861</v>
      </c>
      <c r="C28">
        <v>7096</v>
      </c>
      <c r="D28" s="1">
        <f t="shared" si="0"/>
        <v>0.22271742883148676</v>
      </c>
    </row>
    <row r="29" spans="1:4" x14ac:dyDescent="0.25">
      <c r="A29" t="s">
        <v>2</v>
      </c>
      <c r="B29">
        <f>SUM(B2:B28)</f>
        <v>925315</v>
      </c>
      <c r="C29">
        <f>SUM(C2:C28)</f>
        <v>157338</v>
      </c>
      <c r="D29" s="1">
        <f t="shared" si="0"/>
        <v>0.17003723056472661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8194E-E709-4C61-BFFE-637C460A2A0B}">
  <dimension ref="A1:D29"/>
  <sheetViews>
    <sheetView zoomScale="130" zoomScaleNormal="130" workbookViewId="0">
      <selection sqref="A1:XFD1048576"/>
    </sheetView>
  </sheetViews>
  <sheetFormatPr defaultRowHeight="15.75" x14ac:dyDescent="0.25"/>
  <cols>
    <col min="1" max="1" width="11.140625" bestFit="1" customWidth="1"/>
    <col min="2" max="2" width="27.140625" bestFit="1" customWidth="1"/>
    <col min="3" max="3" width="34.140625" bestFit="1" customWidth="1"/>
    <col min="4" max="4" width="7" bestFit="1" customWidth="1"/>
  </cols>
  <sheetData>
    <row r="1" spans="1:4" x14ac:dyDescent="0.25">
      <c r="A1" t="s">
        <v>33</v>
      </c>
      <c r="B1" t="s">
        <v>25</v>
      </c>
      <c r="C1" t="s">
        <v>26</v>
      </c>
      <c r="D1" t="s">
        <v>1</v>
      </c>
    </row>
    <row r="2" spans="1:4" x14ac:dyDescent="0.25">
      <c r="A2" s="2">
        <v>45200</v>
      </c>
      <c r="B2">
        <v>96107</v>
      </c>
      <c r="C2">
        <v>14136</v>
      </c>
      <c r="D2" s="1">
        <f t="shared" ref="D2:D29" si="0">C2/B2</f>
        <v>0.14708606032859209</v>
      </c>
    </row>
    <row r="3" spans="1:4" x14ac:dyDescent="0.25">
      <c r="A3" s="2">
        <v>45231</v>
      </c>
      <c r="B3">
        <v>105078</v>
      </c>
      <c r="C3">
        <v>25536</v>
      </c>
      <c r="D3" s="1">
        <f t="shared" si="0"/>
        <v>0.24301947124992862</v>
      </c>
    </row>
    <row r="4" spans="1:4" x14ac:dyDescent="0.25">
      <c r="A4" s="2">
        <v>45261</v>
      </c>
      <c r="B4">
        <v>109154</v>
      </c>
      <c r="C4">
        <v>26919</v>
      </c>
      <c r="D4" s="1">
        <f t="shared" si="0"/>
        <v>0.24661487439764004</v>
      </c>
    </row>
    <row r="5" spans="1:4" x14ac:dyDescent="0.25">
      <c r="A5" s="2">
        <v>45292</v>
      </c>
      <c r="B5">
        <v>100678</v>
      </c>
      <c r="C5">
        <v>23662</v>
      </c>
      <c r="D5" s="1">
        <f t="shared" si="0"/>
        <v>0.23502652019309084</v>
      </c>
    </row>
    <row r="6" spans="1:4" x14ac:dyDescent="0.25">
      <c r="A6" s="2">
        <v>45323</v>
      </c>
      <c r="B6">
        <v>63234</v>
      </c>
      <c r="C6">
        <v>12850</v>
      </c>
      <c r="D6" s="1">
        <f t="shared" si="0"/>
        <v>0.20321346111269253</v>
      </c>
    </row>
    <row r="7" spans="1:4" x14ac:dyDescent="0.25">
      <c r="A7" s="2">
        <v>45352</v>
      </c>
      <c r="B7">
        <v>106389</v>
      </c>
      <c r="C7">
        <v>30268</v>
      </c>
      <c r="D7" s="1">
        <f t="shared" si="0"/>
        <v>0.28450309712470273</v>
      </c>
    </row>
    <row r="8" spans="1:4" x14ac:dyDescent="0.25">
      <c r="A8" s="2">
        <v>45383</v>
      </c>
      <c r="B8">
        <v>98464</v>
      </c>
      <c r="C8">
        <v>28068</v>
      </c>
      <c r="D8" s="1">
        <f t="shared" si="0"/>
        <v>0.28505849853753656</v>
      </c>
    </row>
    <row r="9" spans="1:4" x14ac:dyDescent="0.25">
      <c r="A9" s="2">
        <v>45413</v>
      </c>
      <c r="B9">
        <v>102960</v>
      </c>
      <c r="C9">
        <v>33356</v>
      </c>
      <c r="D9" s="1">
        <f t="shared" si="0"/>
        <v>0.32397047397047396</v>
      </c>
    </row>
    <row r="10" spans="1:4" x14ac:dyDescent="0.25">
      <c r="A10" s="2">
        <v>45444</v>
      </c>
      <c r="B10">
        <v>73252</v>
      </c>
      <c r="C10">
        <v>19277</v>
      </c>
      <c r="D10" s="1">
        <f t="shared" si="0"/>
        <v>0.26316005023753619</v>
      </c>
    </row>
    <row r="11" spans="1:4" x14ac:dyDescent="0.25">
      <c r="A11" s="2">
        <v>45474</v>
      </c>
      <c r="B11">
        <v>63710</v>
      </c>
      <c r="C11">
        <v>12854</v>
      </c>
      <c r="D11" s="1">
        <f t="shared" si="0"/>
        <v>0.20175796578245173</v>
      </c>
    </row>
    <row r="12" spans="1:4" x14ac:dyDescent="0.25">
      <c r="A12" s="2">
        <v>45505</v>
      </c>
      <c r="B12">
        <v>77277</v>
      </c>
      <c r="C12">
        <v>14162</v>
      </c>
      <c r="D12" s="1">
        <f t="shared" si="0"/>
        <v>0.1832628078212146</v>
      </c>
    </row>
    <row r="13" spans="1:4" x14ac:dyDescent="0.25">
      <c r="A13" s="2">
        <v>45536</v>
      </c>
      <c r="B13">
        <v>95241</v>
      </c>
      <c r="C13">
        <v>28094</v>
      </c>
      <c r="D13" s="1">
        <f t="shared" si="0"/>
        <v>0.29497800317090328</v>
      </c>
    </row>
    <row r="14" spans="1:4" x14ac:dyDescent="0.25">
      <c r="A14" s="2">
        <v>45566</v>
      </c>
      <c r="B14">
        <v>82417</v>
      </c>
      <c r="C14">
        <v>25895</v>
      </c>
      <c r="D14" s="1">
        <f t="shared" si="0"/>
        <v>0.31419488697720133</v>
      </c>
    </row>
    <row r="15" spans="1:4" x14ac:dyDescent="0.25">
      <c r="A15" s="2">
        <v>45597</v>
      </c>
      <c r="B15">
        <v>100286</v>
      </c>
      <c r="C15">
        <v>29947</v>
      </c>
      <c r="D15" s="1">
        <f t="shared" si="0"/>
        <v>0.29861595835909299</v>
      </c>
    </row>
    <row r="16" spans="1:4" x14ac:dyDescent="0.25">
      <c r="A16" s="2">
        <v>45627</v>
      </c>
      <c r="B16">
        <v>102022</v>
      </c>
      <c r="C16">
        <v>32962</v>
      </c>
      <c r="D16" s="1">
        <f t="shared" si="0"/>
        <v>0.32308717727548958</v>
      </c>
    </row>
    <row r="17" spans="1:4" x14ac:dyDescent="0.25">
      <c r="A17" s="2">
        <v>45658</v>
      </c>
      <c r="B17">
        <v>73413</v>
      </c>
      <c r="C17">
        <v>22346</v>
      </c>
      <c r="D17" s="1">
        <f t="shared" si="0"/>
        <v>0.30438750629997413</v>
      </c>
    </row>
    <row r="18" spans="1:4" x14ac:dyDescent="0.25">
      <c r="A18" s="2">
        <v>45689</v>
      </c>
      <c r="B18">
        <v>69916</v>
      </c>
      <c r="C18">
        <v>21897</v>
      </c>
      <c r="D18" s="1">
        <f t="shared" si="0"/>
        <v>0.31319011385090678</v>
      </c>
    </row>
    <row r="19" spans="1:4" x14ac:dyDescent="0.25">
      <c r="A19" s="2">
        <v>45717</v>
      </c>
      <c r="B19">
        <v>87811</v>
      </c>
      <c r="C19">
        <v>32143</v>
      </c>
      <c r="D19" s="1">
        <f t="shared" si="0"/>
        <v>0.3660475339080525</v>
      </c>
    </row>
    <row r="20" spans="1:4" x14ac:dyDescent="0.25">
      <c r="A20" s="2">
        <v>45748</v>
      </c>
      <c r="B20">
        <v>132492</v>
      </c>
      <c r="C20">
        <v>50342</v>
      </c>
      <c r="D20" s="1">
        <f t="shared" si="0"/>
        <v>0.37996256377743559</v>
      </c>
    </row>
    <row r="21" spans="1:4" x14ac:dyDescent="0.25">
      <c r="A21" s="2">
        <v>45778</v>
      </c>
      <c r="B21">
        <v>82924</v>
      </c>
      <c r="C21">
        <v>31056</v>
      </c>
      <c r="D21" s="1">
        <f t="shared" si="0"/>
        <v>0.37451160098403358</v>
      </c>
    </row>
    <row r="22" spans="1:4" x14ac:dyDescent="0.25">
      <c r="A22" s="2">
        <v>45809</v>
      </c>
      <c r="B22">
        <v>79154</v>
      </c>
      <c r="C22">
        <v>27086</v>
      </c>
      <c r="D22" s="1">
        <f t="shared" si="0"/>
        <v>0.34219369836015867</v>
      </c>
    </row>
    <row r="23" spans="1:4" x14ac:dyDescent="0.25">
      <c r="A23" s="2">
        <v>45839</v>
      </c>
      <c r="B23">
        <v>62710</v>
      </c>
      <c r="C23">
        <v>15824</v>
      </c>
      <c r="D23" s="1">
        <f t="shared" si="0"/>
        <v>0.25233615053420505</v>
      </c>
    </row>
    <row r="24" spans="1:4" x14ac:dyDescent="0.25">
      <c r="A24" s="2">
        <v>45870</v>
      </c>
      <c r="B24">
        <v>65467</v>
      </c>
      <c r="C24">
        <v>14398</v>
      </c>
      <c r="D24" s="1">
        <f t="shared" si="0"/>
        <v>0.21992759710999435</v>
      </c>
    </row>
    <row r="25" spans="1:4" x14ac:dyDescent="0.25">
      <c r="A25" s="2">
        <v>45901</v>
      </c>
      <c r="B25">
        <v>80018</v>
      </c>
      <c r="C25">
        <v>31027</v>
      </c>
      <c r="D25" s="1">
        <f t="shared" si="0"/>
        <v>0.3877502561923567</v>
      </c>
    </row>
    <row r="26" spans="1:4" x14ac:dyDescent="0.25">
      <c r="A26" s="2">
        <v>45931</v>
      </c>
      <c r="B26">
        <v>89413</v>
      </c>
      <c r="C26">
        <v>32693</v>
      </c>
      <c r="D26" s="1">
        <f t="shared" si="0"/>
        <v>0.36564034312683835</v>
      </c>
    </row>
    <row r="27" spans="1:4" x14ac:dyDescent="0.25">
      <c r="A27" s="2">
        <v>45962</v>
      </c>
      <c r="B27">
        <v>36240</v>
      </c>
      <c r="C27">
        <v>10433</v>
      </c>
      <c r="D27" s="1">
        <f t="shared" si="0"/>
        <v>0.28788631346578364</v>
      </c>
    </row>
    <row r="28" spans="1:4" x14ac:dyDescent="0.25">
      <c r="A28" s="2">
        <v>45992</v>
      </c>
      <c r="B28">
        <v>89182</v>
      </c>
      <c r="C28">
        <v>34681</v>
      </c>
      <c r="D28" s="1">
        <f t="shared" si="0"/>
        <v>0.3888789217555112</v>
      </c>
    </row>
    <row r="29" spans="1:4" x14ac:dyDescent="0.25">
      <c r="A29" t="s">
        <v>2</v>
      </c>
      <c r="B29">
        <f>SUM(B2:B28)</f>
        <v>2325009</v>
      </c>
      <c r="C29">
        <f>SUM(C2:C28)</f>
        <v>681912</v>
      </c>
      <c r="D29" s="1">
        <f t="shared" si="0"/>
        <v>0.29329434853800568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D183-E054-4F52-B242-86CC9E24C27F}">
  <dimension ref="A1:F5"/>
  <sheetViews>
    <sheetView zoomScale="130" zoomScaleNormal="130" workbookViewId="0">
      <selection activeCell="E11" sqref="E11"/>
    </sheetView>
  </sheetViews>
  <sheetFormatPr defaultRowHeight="15.75" x14ac:dyDescent="0.25"/>
  <cols>
    <col min="1" max="1" width="13.28515625" bestFit="1" customWidth="1"/>
    <col min="2" max="3" width="6.7109375" bestFit="1" customWidth="1"/>
    <col min="4" max="4" width="7.7109375" bestFit="1" customWidth="1"/>
    <col min="5" max="6" width="11.28515625" bestFit="1" customWidth="1"/>
  </cols>
  <sheetData>
    <row r="1" spans="1:6" x14ac:dyDescent="0.25">
      <c r="A1" t="s">
        <v>32</v>
      </c>
      <c r="B1">
        <v>112</v>
      </c>
      <c r="C1">
        <v>113</v>
      </c>
      <c r="D1">
        <v>114</v>
      </c>
      <c r="E1" t="s">
        <v>30</v>
      </c>
      <c r="F1" t="s">
        <v>31</v>
      </c>
    </row>
    <row r="2" spans="1:6" x14ac:dyDescent="0.25">
      <c r="A2" t="s">
        <v>27</v>
      </c>
      <c r="B2">
        <v>12205</v>
      </c>
      <c r="C2">
        <v>47332</v>
      </c>
      <c r="D2">
        <v>85367</v>
      </c>
      <c r="E2" s="1">
        <f>(C2-B2)/B2</f>
        <v>2.8780827529700943</v>
      </c>
      <c r="F2" s="1">
        <f>(D2-C2)/C2</f>
        <v>0.80357897405560719</v>
      </c>
    </row>
    <row r="3" spans="1:6" x14ac:dyDescent="0.25">
      <c r="A3" t="s">
        <v>28</v>
      </c>
      <c r="B3">
        <v>1828</v>
      </c>
      <c r="C3">
        <v>9260</v>
      </c>
      <c r="D3">
        <v>13203</v>
      </c>
      <c r="E3" s="1">
        <f t="shared" ref="E3:E4" si="0">(C3-B3)/B3</f>
        <v>4.0656455142231946</v>
      </c>
      <c r="F3" s="1">
        <f t="shared" ref="F3:F4" si="1">(D3-C3)/C3</f>
        <v>0.42580993520518357</v>
      </c>
    </row>
    <row r="4" spans="1:6" x14ac:dyDescent="0.25">
      <c r="A4" t="s">
        <v>29</v>
      </c>
      <c r="B4">
        <v>4071</v>
      </c>
      <c r="C4">
        <v>20893</v>
      </c>
      <c r="D4">
        <v>29947</v>
      </c>
      <c r="E4" s="1">
        <f t="shared" si="0"/>
        <v>4.1321542618521248</v>
      </c>
      <c r="F4" s="1">
        <f t="shared" si="1"/>
        <v>0.43335088307088498</v>
      </c>
    </row>
    <row r="5" spans="1:6" x14ac:dyDescent="0.25">
      <c r="A5" t="s">
        <v>2</v>
      </c>
      <c r="B5">
        <f>SUM(B2,B3,B4)</f>
        <v>18104</v>
      </c>
      <c r="C5">
        <f t="shared" ref="C5:D5" si="2">SUM(C2,C3,C4)</f>
        <v>77485</v>
      </c>
      <c r="D5">
        <f t="shared" si="2"/>
        <v>128517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0FCB4-A082-4C88-86B5-EBE994486089}">
  <dimension ref="A1:F5"/>
  <sheetViews>
    <sheetView zoomScale="130" zoomScaleNormal="130" workbookViewId="0">
      <selection activeCell="E23" sqref="E23"/>
    </sheetView>
  </sheetViews>
  <sheetFormatPr defaultRowHeight="15.75" x14ac:dyDescent="0.25"/>
  <cols>
    <col min="1" max="1" width="13.28515625" bestFit="1" customWidth="1"/>
    <col min="2" max="2" width="6.7109375" bestFit="1" customWidth="1"/>
    <col min="3" max="4" width="7.7109375" bestFit="1" customWidth="1"/>
    <col min="5" max="6" width="11.28515625" bestFit="1" customWidth="1"/>
  </cols>
  <sheetData>
    <row r="1" spans="1:6" x14ac:dyDescent="0.25">
      <c r="A1" t="s">
        <v>32</v>
      </c>
      <c r="B1">
        <v>112</v>
      </c>
      <c r="C1">
        <v>113</v>
      </c>
      <c r="D1">
        <v>114</v>
      </c>
      <c r="E1" t="s">
        <v>30</v>
      </c>
      <c r="F1" t="s">
        <v>31</v>
      </c>
    </row>
    <row r="2" spans="1:6" x14ac:dyDescent="0.25">
      <c r="A2" t="s">
        <v>27</v>
      </c>
      <c r="B2">
        <v>0</v>
      </c>
      <c r="C2">
        <v>0</v>
      </c>
      <c r="D2">
        <v>2</v>
      </c>
      <c r="E2" s="1" t="e">
        <f>(C2-B2)/B2</f>
        <v>#DIV/0!</v>
      </c>
      <c r="F2" s="1" t="e">
        <f>(D2-C2)/C2</f>
        <v>#DIV/0!</v>
      </c>
    </row>
    <row r="3" spans="1:6" x14ac:dyDescent="0.25">
      <c r="A3" t="s">
        <v>28</v>
      </c>
      <c r="B3">
        <v>8894</v>
      </c>
      <c r="C3">
        <v>68052</v>
      </c>
      <c r="D3">
        <v>62058</v>
      </c>
      <c r="E3" s="1">
        <f t="shared" ref="E3:F4" si="0">(C3-B3)/B3</f>
        <v>6.6514504160107935</v>
      </c>
      <c r="F3" s="1">
        <f t="shared" si="0"/>
        <v>-8.8079703755951325E-2</v>
      </c>
    </row>
    <row r="4" spans="1:6" x14ac:dyDescent="0.25">
      <c r="A4" t="s">
        <v>29</v>
      </c>
      <c r="B4">
        <v>71307</v>
      </c>
      <c r="C4">
        <v>298068</v>
      </c>
      <c r="D4">
        <v>330869</v>
      </c>
      <c r="E4" s="1">
        <f t="shared" si="0"/>
        <v>3.1800664731372796</v>
      </c>
      <c r="F4" s="1">
        <f t="shared" si="0"/>
        <v>0.11004535877719178</v>
      </c>
    </row>
    <row r="5" spans="1:6" x14ac:dyDescent="0.25">
      <c r="A5" t="s">
        <v>2</v>
      </c>
      <c r="B5">
        <f>SUM(B2,B3,B4)</f>
        <v>80201</v>
      </c>
      <c r="C5">
        <f t="shared" ref="C5:D5" si="1">SUM(C2,C3,C4)</f>
        <v>366120</v>
      </c>
      <c r="D5">
        <f t="shared" si="1"/>
        <v>392929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248B0-3889-4A26-BFAD-CBA42138285B}">
  <dimension ref="A1:E29"/>
  <sheetViews>
    <sheetView zoomScale="130" zoomScaleNormal="130" workbookViewId="0">
      <selection activeCell="A3" sqref="A3:E14"/>
    </sheetView>
  </sheetViews>
  <sheetFormatPr defaultRowHeight="15.75" x14ac:dyDescent="0.25"/>
  <cols>
    <col min="1" max="1" width="11.140625" bestFit="1" customWidth="1"/>
    <col min="2" max="2" width="17.5703125" bestFit="1" customWidth="1"/>
    <col min="3" max="3" width="20" bestFit="1" customWidth="1"/>
    <col min="4" max="4" width="21" style="4" bestFit="1" customWidth="1"/>
    <col min="5" max="5" width="21" bestFit="1" customWidth="1"/>
  </cols>
  <sheetData>
    <row r="1" spans="1:5" x14ac:dyDescent="0.25">
      <c r="A1" t="s">
        <v>33</v>
      </c>
      <c r="B1" t="s">
        <v>34</v>
      </c>
      <c r="C1" t="s">
        <v>35</v>
      </c>
      <c r="D1" s="4" t="s">
        <v>36</v>
      </c>
      <c r="E1" t="s">
        <v>37</v>
      </c>
    </row>
    <row r="2" spans="1:5" x14ac:dyDescent="0.25">
      <c r="A2" s="2">
        <v>45444</v>
      </c>
      <c r="B2">
        <v>24926</v>
      </c>
      <c r="C2">
        <v>21987</v>
      </c>
      <c r="D2" s="3">
        <v>391603</v>
      </c>
      <c r="E2" s="5">
        <f>D2/C2</f>
        <v>17.810660845044801</v>
      </c>
    </row>
    <row r="3" spans="1:5" x14ac:dyDescent="0.25">
      <c r="A3" s="2">
        <v>45474</v>
      </c>
      <c r="B3">
        <v>20223</v>
      </c>
      <c r="C3">
        <v>17913</v>
      </c>
      <c r="D3" s="3">
        <v>303016</v>
      </c>
      <c r="E3" s="5">
        <f t="shared" ref="E3:E20" si="0">D3/C3</f>
        <v>16.915982805783511</v>
      </c>
    </row>
    <row r="4" spans="1:5" x14ac:dyDescent="0.25">
      <c r="A4" s="2">
        <v>45505</v>
      </c>
      <c r="B4">
        <v>25505</v>
      </c>
      <c r="C4">
        <v>22794</v>
      </c>
      <c r="D4" s="3">
        <v>414230</v>
      </c>
      <c r="E4" s="5">
        <f t="shared" si="0"/>
        <v>18.17276476265684</v>
      </c>
    </row>
    <row r="5" spans="1:5" x14ac:dyDescent="0.25">
      <c r="A5" s="2">
        <v>45536</v>
      </c>
      <c r="B5">
        <v>35607</v>
      </c>
      <c r="C5">
        <v>32269</v>
      </c>
      <c r="D5" s="3">
        <v>568299</v>
      </c>
      <c r="E5" s="5">
        <f t="shared" si="0"/>
        <v>17.611298769717067</v>
      </c>
    </row>
    <row r="6" spans="1:5" x14ac:dyDescent="0.25">
      <c r="A6" s="2">
        <v>45566</v>
      </c>
      <c r="B6">
        <v>32885</v>
      </c>
      <c r="C6">
        <v>29943</v>
      </c>
      <c r="D6" s="3">
        <v>526001</v>
      </c>
      <c r="E6" s="5">
        <f t="shared" si="0"/>
        <v>17.566743479277292</v>
      </c>
    </row>
    <row r="7" spans="1:5" x14ac:dyDescent="0.25">
      <c r="A7" s="2">
        <v>45597</v>
      </c>
      <c r="B7">
        <v>35102</v>
      </c>
      <c r="C7">
        <v>34628</v>
      </c>
      <c r="D7" s="3">
        <v>528955</v>
      </c>
      <c r="E7" s="5">
        <f t="shared" si="0"/>
        <v>15.275355203881253</v>
      </c>
    </row>
    <row r="8" spans="1:5" x14ac:dyDescent="0.25">
      <c r="A8" s="2">
        <v>45627</v>
      </c>
      <c r="B8">
        <v>39126</v>
      </c>
      <c r="C8">
        <v>38801</v>
      </c>
      <c r="D8" s="3">
        <v>628069</v>
      </c>
      <c r="E8" s="5">
        <f t="shared" si="0"/>
        <v>16.186928171954332</v>
      </c>
    </row>
    <row r="9" spans="1:5" x14ac:dyDescent="0.25">
      <c r="A9" s="2">
        <v>45658</v>
      </c>
      <c r="B9">
        <v>21424</v>
      </c>
      <c r="C9">
        <v>21233</v>
      </c>
      <c r="D9" s="3">
        <v>282008</v>
      </c>
      <c r="E9" s="5">
        <f t="shared" si="0"/>
        <v>13.281589977864645</v>
      </c>
    </row>
    <row r="10" spans="1:5" x14ac:dyDescent="0.25">
      <c r="A10" s="2">
        <v>45689</v>
      </c>
      <c r="B10">
        <v>21922</v>
      </c>
      <c r="C10">
        <v>21767</v>
      </c>
      <c r="D10" s="3">
        <v>294587</v>
      </c>
      <c r="E10" s="5">
        <f t="shared" si="0"/>
        <v>13.533651858317636</v>
      </c>
    </row>
    <row r="11" spans="1:5" x14ac:dyDescent="0.25">
      <c r="A11" s="2">
        <v>45717</v>
      </c>
      <c r="B11">
        <v>29047</v>
      </c>
      <c r="C11">
        <v>28744</v>
      </c>
      <c r="D11" s="3">
        <v>381056</v>
      </c>
      <c r="E11" s="5">
        <f t="shared" si="0"/>
        <v>13.256888394099638</v>
      </c>
    </row>
    <row r="12" spans="1:5" x14ac:dyDescent="0.25">
      <c r="A12" s="2">
        <v>45748</v>
      </c>
      <c r="B12">
        <v>29161</v>
      </c>
      <c r="C12">
        <v>28715</v>
      </c>
      <c r="D12" s="3">
        <v>381626</v>
      </c>
      <c r="E12" s="5">
        <f t="shared" si="0"/>
        <v>13.290127111265889</v>
      </c>
    </row>
    <row r="13" spans="1:5" x14ac:dyDescent="0.25">
      <c r="A13" s="2">
        <v>45778</v>
      </c>
      <c r="B13">
        <v>27933</v>
      </c>
      <c r="C13">
        <v>27487</v>
      </c>
      <c r="D13" s="3">
        <v>330730</v>
      </c>
      <c r="E13" s="5">
        <f t="shared" si="0"/>
        <v>12.032233419434641</v>
      </c>
    </row>
    <row r="14" spans="1:5" x14ac:dyDescent="0.25">
      <c r="A14" s="2">
        <v>45809</v>
      </c>
      <c r="B14">
        <v>26215</v>
      </c>
      <c r="C14">
        <v>25734</v>
      </c>
      <c r="D14" s="3">
        <v>345893</v>
      </c>
      <c r="E14" s="5">
        <f t="shared" si="0"/>
        <v>13.441089609077485</v>
      </c>
    </row>
    <row r="15" spans="1:5" x14ac:dyDescent="0.25">
      <c r="A15" s="2">
        <v>45839</v>
      </c>
      <c r="B15">
        <v>20419</v>
      </c>
      <c r="C15">
        <v>20196</v>
      </c>
      <c r="D15" s="3">
        <v>255285</v>
      </c>
      <c r="E15" s="5">
        <f t="shared" si="0"/>
        <v>12.640374331550802</v>
      </c>
    </row>
    <row r="16" spans="1:5" x14ac:dyDescent="0.25">
      <c r="A16" s="2">
        <v>45870</v>
      </c>
      <c r="B16">
        <v>21356</v>
      </c>
      <c r="C16">
        <v>21090</v>
      </c>
      <c r="D16" s="3">
        <v>279581</v>
      </c>
      <c r="E16" s="5">
        <f t="shared" si="0"/>
        <v>13.256567093409199</v>
      </c>
    </row>
    <row r="17" spans="1:5" x14ac:dyDescent="0.25">
      <c r="A17" s="2">
        <v>45901</v>
      </c>
      <c r="B17">
        <v>30418</v>
      </c>
      <c r="C17">
        <v>30135</v>
      </c>
      <c r="D17" s="3">
        <v>401887</v>
      </c>
      <c r="E17" s="5">
        <f t="shared" si="0"/>
        <v>13.336220341795254</v>
      </c>
    </row>
    <row r="18" spans="1:5" x14ac:dyDescent="0.25">
      <c r="A18" s="2">
        <v>45931</v>
      </c>
      <c r="B18">
        <v>31010</v>
      </c>
      <c r="C18">
        <v>30644</v>
      </c>
      <c r="D18" s="3">
        <v>402092</v>
      </c>
      <c r="E18" s="5">
        <f t="shared" si="0"/>
        <v>13.121394073880694</v>
      </c>
    </row>
    <row r="19" spans="1:5" x14ac:dyDescent="0.25">
      <c r="A19" s="2">
        <v>45962</v>
      </c>
      <c r="B19">
        <v>26744</v>
      </c>
      <c r="C19">
        <v>25905</v>
      </c>
      <c r="D19" s="3">
        <v>305031</v>
      </c>
      <c r="E19" s="5">
        <f t="shared" si="0"/>
        <v>11.774985524030111</v>
      </c>
    </row>
    <row r="20" spans="1:5" x14ac:dyDescent="0.25">
      <c r="A20" s="2">
        <v>45992</v>
      </c>
      <c r="B20">
        <v>29858</v>
      </c>
      <c r="C20">
        <v>28854</v>
      </c>
      <c r="D20" s="3">
        <v>339844</v>
      </c>
      <c r="E20" s="5">
        <f t="shared" si="0"/>
        <v>11.778055035696957</v>
      </c>
    </row>
    <row r="21" spans="1:5" x14ac:dyDescent="0.25">
      <c r="A21" t="s">
        <v>38</v>
      </c>
      <c r="B21">
        <f>SUM(B2:B20)</f>
        <v>528881</v>
      </c>
      <c r="C21">
        <f>SUM(C2:C20)</f>
        <v>508839</v>
      </c>
    </row>
    <row r="23" spans="1:5" x14ac:dyDescent="0.25">
      <c r="B23" s="6">
        <f>(B21-C21)/B21</f>
        <v>3.7895103057209466E-2</v>
      </c>
    </row>
    <row r="29" spans="1:5" x14ac:dyDescent="0.25">
      <c r="D29" s="3"/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32AC-971C-4ECF-8B2B-AD4356D727D8}">
  <dimension ref="A1:E29"/>
  <sheetViews>
    <sheetView zoomScale="130" zoomScaleNormal="130" workbookViewId="0">
      <selection activeCell="A3" sqref="A3:E14"/>
    </sheetView>
  </sheetViews>
  <sheetFormatPr defaultRowHeight="15.75" x14ac:dyDescent="0.25"/>
  <cols>
    <col min="1" max="1" width="11.140625" bestFit="1" customWidth="1"/>
    <col min="2" max="2" width="17.5703125" bestFit="1" customWidth="1"/>
    <col min="3" max="3" width="20" bestFit="1" customWidth="1"/>
    <col min="4" max="4" width="21" style="4" bestFit="1" customWidth="1"/>
    <col min="5" max="5" width="21" bestFit="1" customWidth="1"/>
  </cols>
  <sheetData>
    <row r="1" spans="1:5" x14ac:dyDescent="0.25">
      <c r="A1" t="s">
        <v>33</v>
      </c>
      <c r="B1" t="s">
        <v>34</v>
      </c>
      <c r="C1" t="s">
        <v>35</v>
      </c>
      <c r="D1" s="4" t="s">
        <v>36</v>
      </c>
      <c r="E1" t="s">
        <v>37</v>
      </c>
    </row>
    <row r="2" spans="1:5" x14ac:dyDescent="0.25">
      <c r="A2" s="2">
        <v>45444</v>
      </c>
      <c r="B2">
        <v>11505</v>
      </c>
      <c r="C2">
        <v>10717</v>
      </c>
      <c r="D2" s="3">
        <v>82922</v>
      </c>
      <c r="E2" s="5">
        <f>D2/C2</f>
        <v>7.7374265186152842</v>
      </c>
    </row>
    <row r="3" spans="1:5" x14ac:dyDescent="0.25">
      <c r="A3" s="2">
        <v>45474</v>
      </c>
      <c r="B3">
        <v>11343</v>
      </c>
      <c r="C3">
        <v>10618</v>
      </c>
      <c r="D3" s="3">
        <v>84740</v>
      </c>
      <c r="E3" s="5">
        <f t="shared" ref="E3:E20" si="0">D3/C3</f>
        <v>7.9807873422490108</v>
      </c>
    </row>
    <row r="4" spans="1:5" x14ac:dyDescent="0.25">
      <c r="A4" s="2">
        <v>45505</v>
      </c>
      <c r="B4">
        <v>14507</v>
      </c>
      <c r="C4">
        <v>13559</v>
      </c>
      <c r="D4" s="3">
        <v>109263</v>
      </c>
      <c r="E4" s="5">
        <f t="shared" si="0"/>
        <v>8.0583376355188427</v>
      </c>
    </row>
    <row r="5" spans="1:5" x14ac:dyDescent="0.25">
      <c r="A5" s="2">
        <v>45536</v>
      </c>
      <c r="B5">
        <v>13917</v>
      </c>
      <c r="C5">
        <v>12985</v>
      </c>
      <c r="D5" s="3">
        <v>96513</v>
      </c>
      <c r="E5" s="5">
        <f t="shared" si="0"/>
        <v>7.4326530612244897</v>
      </c>
    </row>
    <row r="6" spans="1:5" x14ac:dyDescent="0.25">
      <c r="A6" s="2">
        <v>45566</v>
      </c>
      <c r="B6">
        <v>12989</v>
      </c>
      <c r="C6">
        <v>12090</v>
      </c>
      <c r="D6" s="3">
        <v>88982</v>
      </c>
      <c r="E6" s="5">
        <f t="shared" si="0"/>
        <v>7.3599669148056241</v>
      </c>
    </row>
    <row r="7" spans="1:5" x14ac:dyDescent="0.25">
      <c r="A7" s="2">
        <v>45597</v>
      </c>
      <c r="B7">
        <v>15461</v>
      </c>
      <c r="C7">
        <v>14230</v>
      </c>
      <c r="D7" s="3">
        <v>98567</v>
      </c>
      <c r="E7" s="5">
        <f t="shared" si="0"/>
        <v>6.9267041461700636</v>
      </c>
    </row>
    <row r="8" spans="1:5" x14ac:dyDescent="0.25">
      <c r="A8" s="2">
        <v>45627</v>
      </c>
      <c r="B8">
        <v>13546</v>
      </c>
      <c r="C8">
        <v>11448</v>
      </c>
      <c r="D8" s="3">
        <v>76919</v>
      </c>
      <c r="E8" s="5">
        <f t="shared" si="0"/>
        <v>6.7189902166317257</v>
      </c>
    </row>
    <row r="9" spans="1:5" x14ac:dyDescent="0.25">
      <c r="A9" s="2">
        <v>45658</v>
      </c>
      <c r="B9">
        <v>10810</v>
      </c>
      <c r="C9">
        <v>9468</v>
      </c>
      <c r="D9" s="3">
        <v>63373</v>
      </c>
      <c r="E9" s="5">
        <f t="shared" si="0"/>
        <v>6.6933882551753277</v>
      </c>
    </row>
    <row r="10" spans="1:5" x14ac:dyDescent="0.25">
      <c r="A10" s="2">
        <v>45689</v>
      </c>
      <c r="B10">
        <v>9961</v>
      </c>
      <c r="C10">
        <v>8557</v>
      </c>
      <c r="D10" s="3">
        <v>59076</v>
      </c>
      <c r="E10" s="5">
        <f t="shared" si="0"/>
        <v>6.9038214327451213</v>
      </c>
    </row>
    <row r="11" spans="1:5" x14ac:dyDescent="0.25">
      <c r="A11" s="2">
        <v>45717</v>
      </c>
      <c r="B11">
        <v>12037</v>
      </c>
      <c r="C11">
        <v>10195</v>
      </c>
      <c r="D11" s="3">
        <v>70899</v>
      </c>
      <c r="E11" s="5">
        <f t="shared" si="0"/>
        <v>6.9542913192741542</v>
      </c>
    </row>
    <row r="12" spans="1:5" x14ac:dyDescent="0.25">
      <c r="A12" s="2">
        <v>45748</v>
      </c>
      <c r="B12">
        <v>14114</v>
      </c>
      <c r="C12">
        <v>12358</v>
      </c>
      <c r="D12" s="3">
        <v>92394</v>
      </c>
      <c r="E12" s="5">
        <f t="shared" si="0"/>
        <v>7.4764525004045961</v>
      </c>
    </row>
    <row r="13" spans="1:5" x14ac:dyDescent="0.25">
      <c r="A13" s="2">
        <v>45778</v>
      </c>
      <c r="B13">
        <v>14616</v>
      </c>
      <c r="C13">
        <v>12703</v>
      </c>
      <c r="D13" s="3">
        <v>95452</v>
      </c>
      <c r="E13" s="5">
        <f t="shared" si="0"/>
        <v>7.5141305203495241</v>
      </c>
    </row>
    <row r="14" spans="1:5" x14ac:dyDescent="0.25">
      <c r="A14" s="2">
        <v>45809</v>
      </c>
      <c r="B14">
        <v>14883</v>
      </c>
      <c r="C14">
        <v>13075</v>
      </c>
      <c r="D14" s="3">
        <v>100325</v>
      </c>
      <c r="E14" s="5">
        <f t="shared" si="0"/>
        <v>7.6730401529636714</v>
      </c>
    </row>
    <row r="15" spans="1:5" x14ac:dyDescent="0.25">
      <c r="A15" s="2">
        <v>45839</v>
      </c>
      <c r="B15">
        <v>12631</v>
      </c>
      <c r="C15">
        <v>11756</v>
      </c>
      <c r="D15" s="3">
        <v>89764</v>
      </c>
      <c r="E15" s="5">
        <f t="shared" si="0"/>
        <v>7.6355903368492681</v>
      </c>
    </row>
    <row r="16" spans="1:5" x14ac:dyDescent="0.25">
      <c r="A16" s="2">
        <v>45870</v>
      </c>
      <c r="B16">
        <v>14055</v>
      </c>
      <c r="C16">
        <v>13197</v>
      </c>
      <c r="D16" s="3">
        <v>104351</v>
      </c>
      <c r="E16" s="5">
        <f t="shared" si="0"/>
        <v>7.9071758733045385</v>
      </c>
    </row>
    <row r="17" spans="1:5" x14ac:dyDescent="0.25">
      <c r="A17" s="2">
        <v>45901</v>
      </c>
      <c r="B17">
        <v>11219</v>
      </c>
      <c r="C17">
        <v>10233</v>
      </c>
      <c r="D17" s="3">
        <v>76978</v>
      </c>
      <c r="E17" s="5">
        <f t="shared" si="0"/>
        <v>7.5225251636861135</v>
      </c>
    </row>
    <row r="18" spans="1:5" x14ac:dyDescent="0.25">
      <c r="A18" s="2">
        <v>45931</v>
      </c>
      <c r="B18">
        <v>13730</v>
      </c>
      <c r="C18">
        <v>12205</v>
      </c>
      <c r="D18" s="3">
        <v>91341</v>
      </c>
      <c r="E18" s="5">
        <f t="shared" si="0"/>
        <v>7.4839000409668168</v>
      </c>
    </row>
    <row r="19" spans="1:5" x14ac:dyDescent="0.25">
      <c r="A19" s="2">
        <v>45962</v>
      </c>
      <c r="B19">
        <v>11433</v>
      </c>
      <c r="C19">
        <v>11433</v>
      </c>
      <c r="D19" s="3">
        <v>84203</v>
      </c>
      <c r="E19" s="5">
        <f t="shared" si="0"/>
        <v>7.3649085979183067</v>
      </c>
    </row>
    <row r="20" spans="1:5" x14ac:dyDescent="0.25">
      <c r="A20" s="2">
        <v>45992</v>
      </c>
      <c r="B20">
        <v>13272</v>
      </c>
      <c r="C20">
        <v>13272</v>
      </c>
      <c r="D20" s="3">
        <v>93851</v>
      </c>
      <c r="E20" s="5">
        <f t="shared" si="0"/>
        <v>7.0713532248342377</v>
      </c>
    </row>
    <row r="21" spans="1:5" x14ac:dyDescent="0.25">
      <c r="A21" t="s">
        <v>2</v>
      </c>
      <c r="B21">
        <f>SUM(B2:B20)</f>
        <v>246029</v>
      </c>
      <c r="C21">
        <f>SUM(C2:C20)</f>
        <v>224099</v>
      </c>
    </row>
    <row r="23" spans="1:5" x14ac:dyDescent="0.25">
      <c r="B23" s="6">
        <f>(B21-C21)/B21</f>
        <v>8.9135833580594154E-2</v>
      </c>
    </row>
    <row r="29" spans="1:5" x14ac:dyDescent="0.25">
      <c r="D29" s="3"/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4100-5575-448C-AA06-7EFDF070E657}">
  <dimension ref="A1:E29"/>
  <sheetViews>
    <sheetView zoomScale="130" zoomScaleNormal="130" workbookViewId="0">
      <selection activeCell="A3" sqref="A3:E14"/>
    </sheetView>
  </sheetViews>
  <sheetFormatPr defaultRowHeight="15.75" x14ac:dyDescent="0.25"/>
  <cols>
    <col min="1" max="1" width="11.140625" bestFit="1" customWidth="1"/>
    <col min="2" max="2" width="17.5703125" bestFit="1" customWidth="1"/>
    <col min="3" max="3" width="20" bestFit="1" customWidth="1"/>
    <col min="4" max="4" width="21" style="4" bestFit="1" customWidth="1"/>
    <col min="5" max="5" width="21" bestFit="1" customWidth="1"/>
  </cols>
  <sheetData>
    <row r="1" spans="1:5" x14ac:dyDescent="0.25">
      <c r="A1" t="s">
        <v>33</v>
      </c>
      <c r="B1" t="s">
        <v>34</v>
      </c>
      <c r="C1" t="s">
        <v>35</v>
      </c>
      <c r="D1" s="4" t="s">
        <v>36</v>
      </c>
      <c r="E1" t="s">
        <v>37</v>
      </c>
    </row>
    <row r="2" spans="1:5" x14ac:dyDescent="0.25">
      <c r="A2" s="2">
        <v>45444</v>
      </c>
      <c r="B2">
        <v>27271</v>
      </c>
      <c r="C2">
        <v>23556</v>
      </c>
      <c r="D2" s="3">
        <v>518742</v>
      </c>
      <c r="E2" s="5">
        <f>D2/C2</f>
        <v>22.021650534895567</v>
      </c>
    </row>
    <row r="3" spans="1:5" x14ac:dyDescent="0.25">
      <c r="A3" s="2">
        <v>45474</v>
      </c>
      <c r="B3">
        <v>23860</v>
      </c>
      <c r="C3">
        <v>20320</v>
      </c>
      <c r="D3" s="3">
        <v>466888</v>
      </c>
      <c r="E3" s="5">
        <f t="shared" ref="E3:E20" si="0">D3/C3</f>
        <v>22.976771653543306</v>
      </c>
    </row>
    <row r="4" spans="1:5" x14ac:dyDescent="0.25">
      <c r="A4" s="2">
        <v>45505</v>
      </c>
      <c r="B4">
        <v>26190</v>
      </c>
      <c r="C4">
        <v>22595</v>
      </c>
      <c r="D4" s="3">
        <v>518428</v>
      </c>
      <c r="E4" s="5">
        <f t="shared" si="0"/>
        <v>22.944368223058198</v>
      </c>
    </row>
    <row r="5" spans="1:5" x14ac:dyDescent="0.25">
      <c r="A5" s="2">
        <v>45536</v>
      </c>
      <c r="B5">
        <v>52390</v>
      </c>
      <c r="C5">
        <v>48277</v>
      </c>
      <c r="D5" s="3">
        <v>977191</v>
      </c>
      <c r="E5" s="5">
        <f t="shared" si="0"/>
        <v>20.241336454212149</v>
      </c>
    </row>
    <row r="6" spans="1:5" x14ac:dyDescent="0.25">
      <c r="A6" s="2">
        <v>45566</v>
      </c>
      <c r="B6">
        <v>27791</v>
      </c>
      <c r="C6">
        <v>25458</v>
      </c>
      <c r="D6" s="3">
        <v>529279</v>
      </c>
      <c r="E6" s="5">
        <f t="shared" si="0"/>
        <v>20.790282033152643</v>
      </c>
    </row>
    <row r="7" spans="1:5" x14ac:dyDescent="0.25">
      <c r="A7" s="2">
        <v>45597</v>
      </c>
      <c r="B7">
        <v>60495</v>
      </c>
      <c r="C7">
        <v>54627</v>
      </c>
      <c r="D7" s="3">
        <v>1059598</v>
      </c>
      <c r="E7" s="5">
        <f t="shared" si="0"/>
        <v>19.396964870851409</v>
      </c>
    </row>
    <row r="8" spans="1:5" x14ac:dyDescent="0.25">
      <c r="A8" s="2">
        <v>45627</v>
      </c>
      <c r="B8">
        <v>54204</v>
      </c>
      <c r="C8">
        <v>49966</v>
      </c>
      <c r="D8" s="3">
        <v>1022721</v>
      </c>
      <c r="E8" s="5">
        <f t="shared" si="0"/>
        <v>20.468338470159708</v>
      </c>
    </row>
    <row r="9" spans="1:5" x14ac:dyDescent="0.25">
      <c r="A9" s="2">
        <v>45658</v>
      </c>
      <c r="B9">
        <v>25166</v>
      </c>
      <c r="C9">
        <v>23228</v>
      </c>
      <c r="D9" s="3">
        <v>522471</v>
      </c>
      <c r="E9" s="5">
        <f t="shared" si="0"/>
        <v>22.493154813156536</v>
      </c>
    </row>
    <row r="10" spans="1:5" x14ac:dyDescent="0.25">
      <c r="A10" s="2">
        <v>45689</v>
      </c>
      <c r="B10">
        <v>24706</v>
      </c>
      <c r="C10">
        <v>23208</v>
      </c>
      <c r="D10" s="3">
        <v>519551</v>
      </c>
      <c r="E10" s="5">
        <f t="shared" si="0"/>
        <v>22.386720096518442</v>
      </c>
    </row>
    <row r="11" spans="1:5" x14ac:dyDescent="0.25">
      <c r="A11" s="2">
        <v>45717</v>
      </c>
      <c r="B11">
        <v>31262</v>
      </c>
      <c r="C11">
        <v>29390</v>
      </c>
      <c r="D11" s="3">
        <v>629968</v>
      </c>
      <c r="E11" s="5">
        <f t="shared" si="0"/>
        <v>21.434773732562096</v>
      </c>
    </row>
    <row r="12" spans="1:5" x14ac:dyDescent="0.25">
      <c r="A12" s="2">
        <v>45748</v>
      </c>
      <c r="B12">
        <v>32846</v>
      </c>
      <c r="C12">
        <v>30880</v>
      </c>
      <c r="D12" s="3">
        <v>667683</v>
      </c>
      <c r="E12" s="5">
        <f t="shared" si="0"/>
        <v>21.621858808290156</v>
      </c>
    </row>
    <row r="13" spans="1:5" x14ac:dyDescent="0.25">
      <c r="A13" s="2">
        <v>45778</v>
      </c>
      <c r="B13">
        <v>30858</v>
      </c>
      <c r="C13">
        <v>29204</v>
      </c>
      <c r="D13" s="3">
        <v>623062</v>
      </c>
      <c r="E13" s="5">
        <f t="shared" si="0"/>
        <v>21.334817148335844</v>
      </c>
    </row>
    <row r="14" spans="1:5" x14ac:dyDescent="0.25">
      <c r="A14" s="2">
        <v>45809</v>
      </c>
      <c r="B14">
        <v>29024</v>
      </c>
      <c r="C14">
        <v>27301</v>
      </c>
      <c r="D14" s="3">
        <v>605388</v>
      </c>
      <c r="E14" s="5">
        <f t="shared" si="0"/>
        <v>22.174572359986815</v>
      </c>
    </row>
    <row r="15" spans="1:5" x14ac:dyDescent="0.25">
      <c r="A15" s="2">
        <v>45839</v>
      </c>
      <c r="B15">
        <v>27565</v>
      </c>
      <c r="C15">
        <v>25595</v>
      </c>
      <c r="D15" s="3">
        <v>593083</v>
      </c>
      <c r="E15" s="5">
        <f t="shared" si="0"/>
        <v>23.171830435631961</v>
      </c>
    </row>
    <row r="16" spans="1:5" x14ac:dyDescent="0.25">
      <c r="A16" s="2">
        <v>45870</v>
      </c>
      <c r="B16">
        <v>28361</v>
      </c>
      <c r="C16">
        <v>26275</v>
      </c>
      <c r="D16" s="3">
        <v>607705</v>
      </c>
      <c r="E16" s="5">
        <f t="shared" si="0"/>
        <v>23.128639391056137</v>
      </c>
    </row>
    <row r="17" spans="1:5" x14ac:dyDescent="0.25">
      <c r="A17" s="2">
        <v>45901</v>
      </c>
      <c r="B17">
        <v>30017</v>
      </c>
      <c r="C17">
        <v>28306</v>
      </c>
      <c r="D17" s="3">
        <v>591175</v>
      </c>
      <c r="E17" s="5">
        <f t="shared" si="0"/>
        <v>20.885148025153679</v>
      </c>
    </row>
    <row r="18" spans="1:5" x14ac:dyDescent="0.25">
      <c r="A18" s="2">
        <v>45931</v>
      </c>
      <c r="B18">
        <v>31646</v>
      </c>
      <c r="C18">
        <v>29858</v>
      </c>
      <c r="D18" s="3">
        <v>618273</v>
      </c>
      <c r="E18" s="5">
        <f t="shared" si="0"/>
        <v>20.707113671377854</v>
      </c>
    </row>
    <row r="19" spans="1:5" x14ac:dyDescent="0.25">
      <c r="A19" s="2">
        <v>45962</v>
      </c>
      <c r="B19">
        <v>26103</v>
      </c>
      <c r="C19">
        <v>24688</v>
      </c>
      <c r="D19" s="3">
        <v>507411</v>
      </c>
      <c r="E19" s="5">
        <f t="shared" si="0"/>
        <v>20.552940699935192</v>
      </c>
    </row>
    <row r="20" spans="1:5" x14ac:dyDescent="0.25">
      <c r="A20" s="2">
        <v>45992</v>
      </c>
      <c r="B20">
        <v>31444</v>
      </c>
      <c r="C20">
        <v>29869</v>
      </c>
      <c r="D20" s="3">
        <v>624862</v>
      </c>
      <c r="E20" s="5">
        <f t="shared" si="0"/>
        <v>20.92008436840872</v>
      </c>
    </row>
    <row r="21" spans="1:5" x14ac:dyDescent="0.25">
      <c r="A21" t="s">
        <v>2</v>
      </c>
      <c r="B21">
        <f>SUM(B2:B20)</f>
        <v>621199</v>
      </c>
      <c r="C21">
        <f>SUM(C2:C20)</f>
        <v>572601</v>
      </c>
    </row>
    <row r="23" spans="1:5" x14ac:dyDescent="0.25">
      <c r="B23" s="6">
        <f>(B21-C21)/B21</f>
        <v>7.8232579253991075E-2</v>
      </c>
    </row>
    <row r="29" spans="1:5" x14ac:dyDescent="0.25">
      <c r="D29" s="3"/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129D9-6C2B-4421-8F86-3B23A2D0C3AA}">
  <dimension ref="A1:E29"/>
  <sheetViews>
    <sheetView zoomScale="130" zoomScaleNormal="130" workbookViewId="0">
      <selection activeCell="E3" sqref="E3:E14"/>
    </sheetView>
  </sheetViews>
  <sheetFormatPr defaultRowHeight="15.75" x14ac:dyDescent="0.25"/>
  <cols>
    <col min="1" max="1" width="11.140625" bestFit="1" customWidth="1"/>
    <col min="2" max="2" width="17.5703125" bestFit="1" customWidth="1"/>
    <col min="3" max="3" width="20" bestFit="1" customWidth="1"/>
    <col min="4" max="4" width="21" style="4" bestFit="1" customWidth="1"/>
    <col min="5" max="5" width="21" bestFit="1" customWidth="1"/>
  </cols>
  <sheetData>
    <row r="1" spans="1:5" x14ac:dyDescent="0.25">
      <c r="A1" t="s">
        <v>33</v>
      </c>
      <c r="B1" t="s">
        <v>34</v>
      </c>
      <c r="C1" t="s">
        <v>35</v>
      </c>
      <c r="D1" s="4" t="s">
        <v>36</v>
      </c>
      <c r="E1" t="s">
        <v>37</v>
      </c>
    </row>
    <row r="2" spans="1:5" x14ac:dyDescent="0.25">
      <c r="A2" s="2">
        <v>45444</v>
      </c>
      <c r="B2">
        <v>73129</v>
      </c>
      <c r="C2">
        <v>65726</v>
      </c>
      <c r="D2" s="3">
        <v>1644016</v>
      </c>
      <c r="E2" s="5">
        <f>D2/C2</f>
        <v>25.013175912120012</v>
      </c>
    </row>
    <row r="3" spans="1:5" x14ac:dyDescent="0.25">
      <c r="A3" s="2">
        <v>45474</v>
      </c>
      <c r="B3">
        <v>63277</v>
      </c>
      <c r="C3">
        <v>56672</v>
      </c>
      <c r="D3" s="3">
        <v>1556817</v>
      </c>
      <c r="E3" s="5">
        <f t="shared" ref="E3:E20" si="0">D3/C3</f>
        <v>27.470655702992659</v>
      </c>
    </row>
    <row r="4" spans="1:5" x14ac:dyDescent="0.25">
      <c r="A4" s="2">
        <v>45505</v>
      </c>
      <c r="B4">
        <v>77152</v>
      </c>
      <c r="C4">
        <v>69582</v>
      </c>
      <c r="D4" s="3">
        <v>2071431</v>
      </c>
      <c r="E4" s="5">
        <f t="shared" si="0"/>
        <v>29.769638699663705</v>
      </c>
    </row>
    <row r="5" spans="1:5" x14ac:dyDescent="0.25">
      <c r="A5" s="2">
        <v>45536</v>
      </c>
      <c r="B5">
        <v>95063</v>
      </c>
      <c r="C5">
        <v>86065</v>
      </c>
      <c r="D5" s="3">
        <v>2290371</v>
      </c>
      <c r="E5" s="5">
        <f t="shared" si="0"/>
        <v>26.612107128333236</v>
      </c>
    </row>
    <row r="6" spans="1:5" x14ac:dyDescent="0.25">
      <c r="A6" s="2">
        <v>45566</v>
      </c>
      <c r="B6">
        <v>82314</v>
      </c>
      <c r="C6">
        <v>76376</v>
      </c>
      <c r="D6" s="3">
        <v>1948796</v>
      </c>
      <c r="E6" s="5">
        <f t="shared" si="0"/>
        <v>25.515816486854508</v>
      </c>
    </row>
    <row r="7" spans="1:5" x14ac:dyDescent="0.25">
      <c r="A7" s="2">
        <v>45597</v>
      </c>
      <c r="B7">
        <v>100046</v>
      </c>
      <c r="C7">
        <v>89386</v>
      </c>
      <c r="D7" s="3">
        <v>2287552</v>
      </c>
      <c r="E7" s="5">
        <f t="shared" si="0"/>
        <v>25.591837647953817</v>
      </c>
    </row>
    <row r="8" spans="1:5" x14ac:dyDescent="0.25">
      <c r="A8" s="2">
        <v>45627</v>
      </c>
      <c r="B8">
        <v>101854</v>
      </c>
      <c r="C8">
        <v>92747</v>
      </c>
      <c r="D8" s="3">
        <v>2350506</v>
      </c>
      <c r="E8" s="5">
        <f t="shared" si="0"/>
        <v>25.34320247555177</v>
      </c>
    </row>
    <row r="9" spans="1:5" x14ac:dyDescent="0.25">
      <c r="A9" s="2">
        <v>45658</v>
      </c>
      <c r="B9">
        <v>73346</v>
      </c>
      <c r="C9">
        <v>68013</v>
      </c>
      <c r="D9" s="3">
        <v>1690189</v>
      </c>
      <c r="E9" s="5">
        <f t="shared" si="0"/>
        <v>24.850969667563554</v>
      </c>
    </row>
    <row r="10" spans="1:5" x14ac:dyDescent="0.25">
      <c r="A10" s="2">
        <v>45689</v>
      </c>
      <c r="B10">
        <v>69857</v>
      </c>
      <c r="C10">
        <v>64318</v>
      </c>
      <c r="D10" s="3">
        <v>1581770</v>
      </c>
      <c r="E10" s="5">
        <f t="shared" si="0"/>
        <v>24.592959980098883</v>
      </c>
    </row>
    <row r="11" spans="1:5" x14ac:dyDescent="0.25">
      <c r="A11" s="2">
        <v>45717</v>
      </c>
      <c r="B11">
        <v>87762</v>
      </c>
      <c r="C11">
        <v>81109</v>
      </c>
      <c r="D11" s="3">
        <v>1924281</v>
      </c>
      <c r="E11" s="5">
        <f t="shared" si="0"/>
        <v>23.724629819132279</v>
      </c>
    </row>
    <row r="12" spans="1:5" x14ac:dyDescent="0.25">
      <c r="A12" s="2">
        <v>45748</v>
      </c>
      <c r="B12">
        <v>132437</v>
      </c>
      <c r="C12">
        <v>121791</v>
      </c>
      <c r="D12" s="3">
        <v>2581069</v>
      </c>
      <c r="E12" s="5">
        <f t="shared" si="0"/>
        <v>21.192608649243375</v>
      </c>
    </row>
    <row r="13" spans="1:5" x14ac:dyDescent="0.25">
      <c r="A13" s="2">
        <v>45778</v>
      </c>
      <c r="B13">
        <v>82890</v>
      </c>
      <c r="C13">
        <v>76764</v>
      </c>
      <c r="D13" s="3">
        <v>1801092</v>
      </c>
      <c r="E13" s="5">
        <f t="shared" si="0"/>
        <v>23.462716898546194</v>
      </c>
    </row>
    <row r="14" spans="1:5" x14ac:dyDescent="0.25">
      <c r="A14" s="2">
        <v>45809</v>
      </c>
      <c r="B14">
        <v>79112</v>
      </c>
      <c r="C14">
        <v>73249</v>
      </c>
      <c r="D14" s="3">
        <v>1826377</v>
      </c>
      <c r="E14" s="5">
        <f t="shared" si="0"/>
        <v>24.933814796106432</v>
      </c>
    </row>
    <row r="15" spans="1:5" x14ac:dyDescent="0.25">
      <c r="A15" s="2">
        <v>45839</v>
      </c>
      <c r="B15">
        <v>62666</v>
      </c>
      <c r="C15">
        <v>56924</v>
      </c>
      <c r="D15" s="3">
        <v>1495340</v>
      </c>
      <c r="E15" s="5">
        <f t="shared" si="0"/>
        <v>26.269060501721594</v>
      </c>
    </row>
    <row r="16" spans="1:5" x14ac:dyDescent="0.25">
      <c r="A16" s="2">
        <v>45870</v>
      </c>
      <c r="B16">
        <v>65423</v>
      </c>
      <c r="C16">
        <v>59039</v>
      </c>
      <c r="D16" s="3">
        <v>1618685</v>
      </c>
      <c r="E16" s="5">
        <f t="shared" si="0"/>
        <v>27.417215738748961</v>
      </c>
    </row>
    <row r="17" spans="1:5" x14ac:dyDescent="0.25">
      <c r="A17" s="2">
        <v>45901</v>
      </c>
      <c r="B17">
        <v>79979</v>
      </c>
      <c r="C17">
        <v>76719</v>
      </c>
      <c r="D17" s="3">
        <v>1791510</v>
      </c>
      <c r="E17" s="5">
        <f t="shared" si="0"/>
        <v>23.351581746373128</v>
      </c>
    </row>
    <row r="18" spans="1:5" x14ac:dyDescent="0.25">
      <c r="A18" s="2">
        <v>45931</v>
      </c>
      <c r="B18">
        <v>89368</v>
      </c>
      <c r="C18">
        <v>86717</v>
      </c>
      <c r="D18" s="3">
        <v>2048535</v>
      </c>
      <c r="E18" s="5">
        <f t="shared" si="0"/>
        <v>23.623222666835801</v>
      </c>
    </row>
    <row r="19" spans="1:5" x14ac:dyDescent="0.25">
      <c r="A19" s="2">
        <v>45962</v>
      </c>
      <c r="B19">
        <v>36204</v>
      </c>
      <c r="C19">
        <v>34288</v>
      </c>
      <c r="D19" s="3">
        <v>1083525</v>
      </c>
      <c r="E19" s="5">
        <f t="shared" si="0"/>
        <v>31.600705786280916</v>
      </c>
    </row>
    <row r="20" spans="1:5" x14ac:dyDescent="0.25">
      <c r="A20" s="2">
        <v>45992</v>
      </c>
      <c r="B20">
        <v>89156</v>
      </c>
      <c r="C20">
        <v>86967</v>
      </c>
      <c r="D20" s="3">
        <v>1929701</v>
      </c>
      <c r="E20" s="5">
        <f t="shared" si="0"/>
        <v>22.188887739027447</v>
      </c>
    </row>
    <row r="21" spans="1:5" x14ac:dyDescent="0.25">
      <c r="A21" t="s">
        <v>2</v>
      </c>
      <c r="B21">
        <f>SUM(B2:B20)</f>
        <v>1541035</v>
      </c>
      <c r="C21">
        <f>SUM(C2:C20)</f>
        <v>1422452</v>
      </c>
    </row>
    <row r="23" spans="1:5" x14ac:dyDescent="0.25">
      <c r="B23" s="6">
        <f>(B21-C21)/B21</f>
        <v>7.695023150025794E-2</v>
      </c>
    </row>
    <row r="29" spans="1:5" x14ac:dyDescent="0.25">
      <c r="D29" s="3"/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6D75-17CB-472B-82BD-D9CDF17017B0}">
  <dimension ref="A1:J29"/>
  <sheetViews>
    <sheetView zoomScale="145" zoomScaleNormal="145" workbookViewId="0">
      <selection activeCell="C20" sqref="C20"/>
    </sheetView>
  </sheetViews>
  <sheetFormatPr defaultRowHeight="15.75" x14ac:dyDescent="0.25"/>
  <cols>
    <col min="1" max="1" width="11.140625" bestFit="1" customWidth="1"/>
    <col min="2" max="2" width="6.7109375" bestFit="1" customWidth="1"/>
    <col min="3" max="3" width="8" bestFit="1" customWidth="1"/>
    <col min="4" max="4" width="5.7109375" style="4" bestFit="1" customWidth="1"/>
    <col min="5" max="5" width="7" bestFit="1" customWidth="1"/>
    <col min="6" max="6" width="5.7109375" bestFit="1" customWidth="1"/>
    <col min="7" max="7" width="7" bestFit="1" customWidth="1"/>
    <col min="9" max="9" width="6.7109375" bestFit="1" customWidth="1"/>
    <col min="10" max="10" width="8" bestFit="1" customWidth="1"/>
  </cols>
  <sheetData>
    <row r="1" spans="1:10" x14ac:dyDescent="0.25">
      <c r="A1" t="s">
        <v>33</v>
      </c>
      <c r="B1" s="7" t="s">
        <v>39</v>
      </c>
      <c r="C1" s="7"/>
      <c r="D1" s="8" t="s">
        <v>40</v>
      </c>
      <c r="E1" s="8"/>
      <c r="F1" s="7" t="s">
        <v>41</v>
      </c>
      <c r="G1" s="7"/>
      <c r="I1" t="s">
        <v>2</v>
      </c>
    </row>
    <row r="2" spans="1:10" x14ac:dyDescent="0.25">
      <c r="A2" s="2">
        <v>45444</v>
      </c>
      <c r="B2">
        <v>6042</v>
      </c>
      <c r="C2" s="1">
        <f>B2/I2</f>
        <v>0.48534018796690498</v>
      </c>
      <c r="D2" s="3">
        <v>5442</v>
      </c>
      <c r="E2" s="1">
        <f>D2/I2</f>
        <v>0.43714354566631858</v>
      </c>
      <c r="F2">
        <v>965</v>
      </c>
      <c r="G2" s="1">
        <f>F2/I2</f>
        <v>7.7516266366776443E-2</v>
      </c>
      <c r="I2">
        <f>B2+D2+F2</f>
        <v>12449</v>
      </c>
      <c r="J2" s="1">
        <f>C2+E2+G2</f>
        <v>1</v>
      </c>
    </row>
    <row r="3" spans="1:10" x14ac:dyDescent="0.25">
      <c r="A3" s="2">
        <v>45474</v>
      </c>
      <c r="B3">
        <v>4778</v>
      </c>
      <c r="C3" s="1">
        <f>B3/I3</f>
        <v>0.47537558451895334</v>
      </c>
      <c r="D3" s="3">
        <v>4321</v>
      </c>
      <c r="E3" s="1">
        <f>D3/I3</f>
        <v>0.42990747189334394</v>
      </c>
      <c r="F3" s="3">
        <v>952</v>
      </c>
      <c r="G3" s="1">
        <f>F3/I3</f>
        <v>9.4716943587702718E-2</v>
      </c>
      <c r="I3">
        <f>B3+D3+F3</f>
        <v>10051</v>
      </c>
      <c r="J3" s="1">
        <f>C3+E3+G3</f>
        <v>1</v>
      </c>
    </row>
    <row r="4" spans="1:10" x14ac:dyDescent="0.25">
      <c r="A4" s="2">
        <v>45505</v>
      </c>
      <c r="B4">
        <v>5564</v>
      </c>
      <c r="C4" s="1">
        <f t="shared" ref="C4:C20" si="0">B4/I4</f>
        <v>0.47405640282866152</v>
      </c>
      <c r="D4" s="3">
        <v>4871</v>
      </c>
      <c r="E4" s="1">
        <f t="shared" ref="E4:E20" si="1">D4/I4</f>
        <v>0.41501235409389109</v>
      </c>
      <c r="F4">
        <v>1302</v>
      </c>
      <c r="G4" s="1">
        <f t="shared" ref="G4:G20" si="2">F4/I4</f>
        <v>0.11093124307744739</v>
      </c>
      <c r="I4">
        <f t="shared" ref="I4:I20" si="3">B4+D4+F4</f>
        <v>11737</v>
      </c>
      <c r="J4" s="1">
        <f t="shared" ref="J4:J20" si="4">C4+E4+G4</f>
        <v>1</v>
      </c>
    </row>
    <row r="5" spans="1:10" x14ac:dyDescent="0.25">
      <c r="A5" s="2">
        <v>45536</v>
      </c>
      <c r="B5">
        <v>8545</v>
      </c>
      <c r="C5" s="1">
        <f t="shared" si="0"/>
        <v>0.48540104521699612</v>
      </c>
      <c r="D5" s="3">
        <v>7532</v>
      </c>
      <c r="E5" s="1">
        <f t="shared" si="1"/>
        <v>0.42785730515791864</v>
      </c>
      <c r="F5">
        <v>1527</v>
      </c>
      <c r="G5" s="1">
        <f t="shared" si="2"/>
        <v>8.674164962508521E-2</v>
      </c>
      <c r="I5">
        <f t="shared" si="3"/>
        <v>17604</v>
      </c>
      <c r="J5" s="1">
        <f t="shared" si="4"/>
        <v>1</v>
      </c>
    </row>
    <row r="6" spans="1:10" x14ac:dyDescent="0.25">
      <c r="A6" s="2">
        <v>45566</v>
      </c>
      <c r="B6">
        <v>7870</v>
      </c>
      <c r="C6" s="1">
        <f t="shared" si="0"/>
        <v>0.47775147210587021</v>
      </c>
      <c r="D6" s="3">
        <v>7367</v>
      </c>
      <c r="E6" s="1">
        <f t="shared" si="1"/>
        <v>0.44721665756085716</v>
      </c>
      <c r="F6">
        <v>1236</v>
      </c>
      <c r="G6" s="1">
        <f t="shared" si="2"/>
        <v>7.5031870333272632E-2</v>
      </c>
      <c r="I6">
        <f t="shared" si="3"/>
        <v>16473</v>
      </c>
      <c r="J6" s="1">
        <f t="shared" si="4"/>
        <v>1</v>
      </c>
    </row>
    <row r="7" spans="1:10" x14ac:dyDescent="0.25">
      <c r="A7" s="2">
        <v>45597</v>
      </c>
      <c r="B7">
        <v>9189</v>
      </c>
      <c r="C7" s="1">
        <f t="shared" si="0"/>
        <v>0.49937503396554533</v>
      </c>
      <c r="D7" s="3">
        <v>8042</v>
      </c>
      <c r="E7" s="1">
        <f t="shared" si="1"/>
        <v>0.43704146513776426</v>
      </c>
      <c r="F7">
        <v>1170</v>
      </c>
      <c r="G7" s="1">
        <f t="shared" si="2"/>
        <v>6.3583500896690404E-2</v>
      </c>
      <c r="I7">
        <f t="shared" si="3"/>
        <v>18401</v>
      </c>
      <c r="J7" s="1">
        <f t="shared" si="4"/>
        <v>1</v>
      </c>
    </row>
    <row r="8" spans="1:10" x14ac:dyDescent="0.25">
      <c r="A8" s="2">
        <v>45627</v>
      </c>
      <c r="B8">
        <v>9985</v>
      </c>
      <c r="C8" s="1">
        <f t="shared" si="0"/>
        <v>0.49865161805833003</v>
      </c>
      <c r="D8" s="3">
        <v>8688</v>
      </c>
      <c r="E8" s="1">
        <f t="shared" si="1"/>
        <v>0.4338793447862565</v>
      </c>
      <c r="F8">
        <v>1351</v>
      </c>
      <c r="G8" s="1">
        <f t="shared" si="2"/>
        <v>6.7469037155413497E-2</v>
      </c>
      <c r="I8">
        <f t="shared" si="3"/>
        <v>20024</v>
      </c>
      <c r="J8" s="1">
        <f t="shared" si="4"/>
        <v>1</v>
      </c>
    </row>
    <row r="9" spans="1:10" x14ac:dyDescent="0.25">
      <c r="A9" s="2">
        <v>45658</v>
      </c>
      <c r="B9">
        <v>7178</v>
      </c>
      <c r="C9" s="1">
        <f t="shared" si="0"/>
        <v>0.57040686586141132</v>
      </c>
      <c r="D9" s="3">
        <v>4863</v>
      </c>
      <c r="E9" s="1">
        <f t="shared" si="1"/>
        <v>0.38644310235219326</v>
      </c>
      <c r="F9">
        <v>543</v>
      </c>
      <c r="G9" s="1">
        <f t="shared" si="2"/>
        <v>4.3150031786395419E-2</v>
      </c>
      <c r="I9">
        <f t="shared" si="3"/>
        <v>12584</v>
      </c>
      <c r="J9" s="1">
        <f t="shared" si="4"/>
        <v>1</v>
      </c>
    </row>
    <row r="10" spans="1:10" x14ac:dyDescent="0.25">
      <c r="A10" s="2">
        <v>45689</v>
      </c>
      <c r="B10">
        <v>7084</v>
      </c>
      <c r="C10" s="1">
        <f t="shared" si="0"/>
        <v>0.55391351943076084</v>
      </c>
      <c r="D10" s="3">
        <v>5136</v>
      </c>
      <c r="E10" s="1">
        <f t="shared" si="1"/>
        <v>0.40159512080694348</v>
      </c>
      <c r="F10">
        <v>569</v>
      </c>
      <c r="G10" s="1">
        <f t="shared" si="2"/>
        <v>4.4491359762295721E-2</v>
      </c>
      <c r="I10">
        <f t="shared" si="3"/>
        <v>12789</v>
      </c>
      <c r="J10" s="1">
        <f t="shared" si="4"/>
        <v>1</v>
      </c>
    </row>
    <row r="11" spans="1:10" x14ac:dyDescent="0.25">
      <c r="A11" s="2">
        <v>45717</v>
      </c>
      <c r="B11">
        <v>8855</v>
      </c>
      <c r="C11" s="1">
        <f t="shared" si="0"/>
        <v>0.52408854166666663</v>
      </c>
      <c r="D11" s="3">
        <v>7362</v>
      </c>
      <c r="E11" s="1">
        <f t="shared" si="1"/>
        <v>0.43572443181818182</v>
      </c>
      <c r="F11">
        <v>679</v>
      </c>
      <c r="G11" s="1">
        <f t="shared" si="2"/>
        <v>4.0187026515151512E-2</v>
      </c>
      <c r="I11">
        <f t="shared" si="3"/>
        <v>16896</v>
      </c>
      <c r="J11" s="1">
        <f t="shared" si="4"/>
        <v>0.99999999999999989</v>
      </c>
    </row>
    <row r="12" spans="1:10" x14ac:dyDescent="0.25">
      <c r="A12" s="2">
        <v>45748</v>
      </c>
      <c r="B12">
        <v>9290</v>
      </c>
      <c r="C12" s="1">
        <f t="shared" si="0"/>
        <v>0.54605301828013875</v>
      </c>
      <c r="D12" s="3">
        <v>7001</v>
      </c>
      <c r="E12" s="1">
        <f t="shared" si="1"/>
        <v>0.41150884617645328</v>
      </c>
      <c r="F12">
        <v>722</v>
      </c>
      <c r="G12" s="1">
        <f t="shared" si="2"/>
        <v>4.243813554340798E-2</v>
      </c>
      <c r="I12">
        <f t="shared" si="3"/>
        <v>17013</v>
      </c>
      <c r="J12" s="1">
        <f t="shared" si="4"/>
        <v>1</v>
      </c>
    </row>
    <row r="13" spans="1:10" x14ac:dyDescent="0.25">
      <c r="A13" s="2">
        <v>45778</v>
      </c>
      <c r="B13">
        <v>9336</v>
      </c>
      <c r="C13" s="1">
        <f t="shared" si="0"/>
        <v>0.54824123553937398</v>
      </c>
      <c r="D13" s="3">
        <v>7157</v>
      </c>
      <c r="E13" s="1">
        <f t="shared" si="1"/>
        <v>0.42028304656761994</v>
      </c>
      <c r="F13">
        <v>536</v>
      </c>
      <c r="G13" s="1">
        <f t="shared" si="2"/>
        <v>3.1475717893006051E-2</v>
      </c>
      <c r="I13">
        <f t="shared" si="3"/>
        <v>17029</v>
      </c>
      <c r="J13" s="1">
        <f t="shared" si="4"/>
        <v>1</v>
      </c>
    </row>
    <row r="14" spans="1:10" x14ac:dyDescent="0.25">
      <c r="A14" s="2">
        <v>45809</v>
      </c>
      <c r="B14">
        <v>8133</v>
      </c>
      <c r="C14" s="1">
        <f t="shared" si="0"/>
        <v>0.54209158168366323</v>
      </c>
      <c r="D14" s="3">
        <v>6122</v>
      </c>
      <c r="E14" s="1">
        <f t="shared" si="1"/>
        <v>0.4080517229887356</v>
      </c>
      <c r="F14">
        <v>748</v>
      </c>
      <c r="G14" s="1">
        <f t="shared" si="2"/>
        <v>4.9856695327601147E-2</v>
      </c>
      <c r="I14">
        <f t="shared" si="3"/>
        <v>15003</v>
      </c>
      <c r="J14" s="1">
        <f t="shared" si="4"/>
        <v>1</v>
      </c>
    </row>
    <row r="15" spans="1:10" x14ac:dyDescent="0.25">
      <c r="A15" s="2">
        <v>45839</v>
      </c>
      <c r="B15">
        <v>6649</v>
      </c>
      <c r="C15" s="1">
        <f t="shared" si="0"/>
        <v>0.5671272603207097</v>
      </c>
      <c r="D15" s="3">
        <v>4439</v>
      </c>
      <c r="E15" s="1">
        <f t="shared" si="1"/>
        <v>0.37862504264756058</v>
      </c>
      <c r="F15">
        <v>636</v>
      </c>
      <c r="G15" s="1">
        <f t="shared" si="2"/>
        <v>5.4247697031729783E-2</v>
      </c>
      <c r="I15">
        <f t="shared" si="3"/>
        <v>11724</v>
      </c>
      <c r="J15" s="1">
        <f t="shared" si="4"/>
        <v>1</v>
      </c>
    </row>
    <row r="16" spans="1:10" x14ac:dyDescent="0.25">
      <c r="A16" s="2">
        <v>45870</v>
      </c>
      <c r="B16">
        <v>6280</v>
      </c>
      <c r="C16" s="1">
        <f t="shared" si="0"/>
        <v>0.53220338983050852</v>
      </c>
      <c r="D16" s="3">
        <v>4653</v>
      </c>
      <c r="E16" s="1">
        <f t="shared" si="1"/>
        <v>0.39432203389830506</v>
      </c>
      <c r="F16">
        <v>867</v>
      </c>
      <c r="G16" s="1">
        <f t="shared" si="2"/>
        <v>7.3474576271186434E-2</v>
      </c>
      <c r="I16">
        <f t="shared" si="3"/>
        <v>11800</v>
      </c>
      <c r="J16" s="1">
        <f t="shared" si="4"/>
        <v>1</v>
      </c>
    </row>
    <row r="17" spans="1:10" x14ac:dyDescent="0.25">
      <c r="A17" s="2">
        <v>45901</v>
      </c>
      <c r="B17">
        <v>8606</v>
      </c>
      <c r="C17" s="1">
        <f t="shared" si="0"/>
        <v>0.48961711327302726</v>
      </c>
      <c r="D17" s="3">
        <v>8056</v>
      </c>
      <c r="E17" s="1">
        <f t="shared" si="1"/>
        <v>0.45832622176708199</v>
      </c>
      <c r="F17">
        <v>915</v>
      </c>
      <c r="G17" s="1">
        <f t="shared" si="2"/>
        <v>5.2056664959890767E-2</v>
      </c>
      <c r="I17">
        <f t="shared" si="3"/>
        <v>17577</v>
      </c>
      <c r="J17" s="1">
        <f t="shared" si="4"/>
        <v>1</v>
      </c>
    </row>
    <row r="18" spans="1:10" x14ac:dyDescent="0.25">
      <c r="A18" s="2">
        <v>45931</v>
      </c>
      <c r="B18">
        <v>9398</v>
      </c>
      <c r="C18" s="1">
        <f t="shared" si="0"/>
        <v>0.5075884418039428</v>
      </c>
      <c r="D18" s="3">
        <v>8280</v>
      </c>
      <c r="E18" s="1">
        <f t="shared" si="1"/>
        <v>0.44720496894409939</v>
      </c>
      <c r="F18">
        <v>837</v>
      </c>
      <c r="G18" s="1">
        <f t="shared" si="2"/>
        <v>4.520658925195787E-2</v>
      </c>
      <c r="I18">
        <f t="shared" si="3"/>
        <v>18515</v>
      </c>
      <c r="J18" s="1">
        <f t="shared" si="4"/>
        <v>1.0000000000000002</v>
      </c>
    </row>
    <row r="19" spans="1:10" x14ac:dyDescent="0.25">
      <c r="A19" s="2">
        <v>45962</v>
      </c>
      <c r="B19">
        <v>9373</v>
      </c>
      <c r="C19" s="1">
        <f t="shared" si="0"/>
        <v>0.54672188520765286</v>
      </c>
      <c r="D19" s="3">
        <v>7653</v>
      </c>
      <c r="E19" s="1">
        <f t="shared" si="1"/>
        <v>0.4463952403173122</v>
      </c>
      <c r="F19">
        <v>118</v>
      </c>
      <c r="G19" s="1">
        <f t="shared" si="2"/>
        <v>6.8828744750349981E-3</v>
      </c>
      <c r="I19">
        <f t="shared" si="3"/>
        <v>17144</v>
      </c>
      <c r="J19" s="1">
        <f t="shared" si="4"/>
        <v>1.0000000000000002</v>
      </c>
    </row>
    <row r="20" spans="1:10" x14ac:dyDescent="0.25">
      <c r="A20" s="2">
        <v>45992</v>
      </c>
      <c r="B20">
        <v>10537</v>
      </c>
      <c r="C20" s="1">
        <f t="shared" si="0"/>
        <v>0.54624157594608602</v>
      </c>
      <c r="D20" s="3">
        <v>8636</v>
      </c>
      <c r="E20" s="1">
        <f t="shared" si="1"/>
        <v>0.44769310523587352</v>
      </c>
      <c r="F20">
        <v>117</v>
      </c>
      <c r="G20" s="1">
        <f t="shared" si="2"/>
        <v>6.0653188180404358E-3</v>
      </c>
      <c r="I20">
        <f t="shared" si="3"/>
        <v>19290</v>
      </c>
      <c r="J20" s="1">
        <f t="shared" si="4"/>
        <v>1</v>
      </c>
    </row>
    <row r="23" spans="1:10" x14ac:dyDescent="0.25">
      <c r="B23" s="6"/>
    </row>
    <row r="29" spans="1:10" x14ac:dyDescent="0.25">
      <c r="D29" s="3"/>
    </row>
  </sheetData>
  <mergeCells count="3">
    <mergeCell ref="B1:C1"/>
    <mergeCell ref="D1:E1"/>
    <mergeCell ref="F1:G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03DFF-4878-4CA7-9CAB-60AB8A433796}">
  <dimension ref="A1:J29"/>
  <sheetViews>
    <sheetView zoomScale="145" zoomScaleNormal="145" workbookViewId="0">
      <selection activeCell="H24" sqref="H24"/>
    </sheetView>
  </sheetViews>
  <sheetFormatPr defaultRowHeight="15.75" x14ac:dyDescent="0.25"/>
  <cols>
    <col min="1" max="1" width="11.140625" bestFit="1" customWidth="1"/>
    <col min="2" max="2" width="5.7109375" bestFit="1" customWidth="1"/>
    <col min="3" max="3" width="8.5703125" bestFit="1" customWidth="1"/>
    <col min="4" max="4" width="5.7109375" style="4" bestFit="1" customWidth="1"/>
    <col min="5" max="5" width="8.5703125" bestFit="1" customWidth="1"/>
    <col min="6" max="6" width="5.7109375" bestFit="1" customWidth="1"/>
    <col min="7" max="7" width="8.5703125" bestFit="1" customWidth="1"/>
    <col min="9" max="9" width="6.7109375" bestFit="1" customWidth="1"/>
    <col min="10" max="10" width="8.5703125" bestFit="1" customWidth="1"/>
  </cols>
  <sheetData>
    <row r="1" spans="1:10" x14ac:dyDescent="0.25">
      <c r="A1" t="s">
        <v>33</v>
      </c>
      <c r="B1" s="7" t="s">
        <v>39</v>
      </c>
      <c r="C1" s="7"/>
      <c r="D1" s="8" t="s">
        <v>40</v>
      </c>
      <c r="E1" s="8"/>
      <c r="F1" s="7" t="s">
        <v>41</v>
      </c>
      <c r="G1" s="7"/>
      <c r="I1" t="s">
        <v>2</v>
      </c>
    </row>
    <row r="2" spans="1:10" x14ac:dyDescent="0.25">
      <c r="A2" s="2">
        <v>45444</v>
      </c>
      <c r="B2">
        <v>968</v>
      </c>
      <c r="C2" s="1">
        <f>B2/I2</f>
        <v>0.45811642214860387</v>
      </c>
      <c r="D2" s="3">
        <v>1139</v>
      </c>
      <c r="E2" s="1">
        <f>D2/I2</f>
        <v>0.53904401325130147</v>
      </c>
      <c r="F2">
        <v>6</v>
      </c>
      <c r="G2" s="1">
        <f>F2/I2</f>
        <v>2.8395646000946521E-3</v>
      </c>
      <c r="I2">
        <f>B2+D2+F2</f>
        <v>2113</v>
      </c>
      <c r="J2" s="1">
        <f>C2+E2+G2</f>
        <v>0.99999999999999989</v>
      </c>
    </row>
    <row r="3" spans="1:10" x14ac:dyDescent="0.25">
      <c r="A3" s="2">
        <v>45474</v>
      </c>
      <c r="B3">
        <v>605</v>
      </c>
      <c r="C3" s="1">
        <f>B3/I3</f>
        <v>0.37093807480073576</v>
      </c>
      <c r="D3" s="3">
        <v>1023</v>
      </c>
      <c r="E3" s="1">
        <f>D3/I3</f>
        <v>0.62722256284488043</v>
      </c>
      <c r="F3" s="3">
        <v>3</v>
      </c>
      <c r="G3" s="1">
        <f>F3/I3</f>
        <v>1.8393623543838135E-3</v>
      </c>
      <c r="I3">
        <f>B3+D3+F3</f>
        <v>1631</v>
      </c>
      <c r="J3" s="1">
        <f>C3+E3+G3</f>
        <v>1</v>
      </c>
    </row>
    <row r="4" spans="1:10" x14ac:dyDescent="0.25">
      <c r="A4" s="2">
        <v>45505</v>
      </c>
      <c r="B4">
        <v>725</v>
      </c>
      <c r="C4" s="1">
        <f t="shared" ref="C4:C20" si="0">B4/I4</f>
        <v>0.4205336426914153</v>
      </c>
      <c r="D4" s="3">
        <v>993</v>
      </c>
      <c r="E4" s="1">
        <f t="shared" ref="E4:E20" si="1">D4/I4</f>
        <v>0.57598607888631093</v>
      </c>
      <c r="F4">
        <v>6</v>
      </c>
      <c r="G4" s="1">
        <f t="shared" ref="G4:G20" si="2">F4/I4</f>
        <v>3.4802784222737818E-3</v>
      </c>
      <c r="I4">
        <f t="shared" ref="I4:J20" si="3">B4+D4+F4</f>
        <v>1724</v>
      </c>
      <c r="J4" s="1">
        <f t="shared" si="3"/>
        <v>1</v>
      </c>
    </row>
    <row r="5" spans="1:10" x14ac:dyDescent="0.25">
      <c r="A5" s="2">
        <v>45536</v>
      </c>
      <c r="B5">
        <v>1536</v>
      </c>
      <c r="C5" s="1">
        <f t="shared" si="0"/>
        <v>0.45309734513274336</v>
      </c>
      <c r="D5" s="3">
        <v>1846</v>
      </c>
      <c r="E5" s="1">
        <f t="shared" si="1"/>
        <v>0.54454277286135688</v>
      </c>
      <c r="F5">
        <v>8</v>
      </c>
      <c r="G5" s="1">
        <f t="shared" si="2"/>
        <v>2.359882005899705E-3</v>
      </c>
      <c r="I5">
        <f t="shared" si="3"/>
        <v>3390</v>
      </c>
      <c r="J5" s="1">
        <f t="shared" si="3"/>
        <v>1</v>
      </c>
    </row>
    <row r="6" spans="1:10" x14ac:dyDescent="0.25">
      <c r="A6" s="2">
        <v>45566</v>
      </c>
      <c r="B6">
        <v>1543</v>
      </c>
      <c r="C6" s="1">
        <f t="shared" si="0"/>
        <v>0.42146954384048074</v>
      </c>
      <c r="D6" s="3">
        <v>2107</v>
      </c>
      <c r="E6" s="1">
        <f t="shared" si="1"/>
        <v>0.57552581261950286</v>
      </c>
      <c r="F6">
        <v>11</v>
      </c>
      <c r="G6" s="1">
        <f t="shared" si="2"/>
        <v>3.0046435400163888E-3</v>
      </c>
      <c r="I6">
        <f t="shared" si="3"/>
        <v>3661</v>
      </c>
      <c r="J6" s="1">
        <f t="shared" si="3"/>
        <v>1</v>
      </c>
    </row>
    <row r="7" spans="1:10" x14ac:dyDescent="0.25">
      <c r="A7" s="2">
        <v>45597</v>
      </c>
      <c r="B7">
        <v>1761</v>
      </c>
      <c r="C7" s="1">
        <f t="shared" si="0"/>
        <v>0.42382671480144407</v>
      </c>
      <c r="D7" s="3">
        <v>2382</v>
      </c>
      <c r="E7" s="1">
        <f t="shared" si="1"/>
        <v>0.57328519855595672</v>
      </c>
      <c r="F7">
        <v>12</v>
      </c>
      <c r="G7" s="1">
        <f t="shared" si="2"/>
        <v>2.8880866425992778E-3</v>
      </c>
      <c r="I7">
        <f t="shared" si="3"/>
        <v>4155</v>
      </c>
      <c r="J7" s="1">
        <f t="shared" si="3"/>
        <v>1</v>
      </c>
    </row>
    <row r="8" spans="1:10" x14ac:dyDescent="0.25">
      <c r="A8" s="2">
        <v>45627</v>
      </c>
      <c r="B8">
        <v>2039</v>
      </c>
      <c r="C8" s="1">
        <f t="shared" si="0"/>
        <v>0.42971548998946257</v>
      </c>
      <c r="D8" s="3">
        <v>2689</v>
      </c>
      <c r="E8" s="1">
        <f t="shared" si="1"/>
        <v>0.56670179135932564</v>
      </c>
      <c r="F8">
        <v>17</v>
      </c>
      <c r="G8" s="1">
        <f t="shared" si="2"/>
        <v>3.5827186512118019E-3</v>
      </c>
      <c r="I8">
        <f t="shared" si="3"/>
        <v>4745</v>
      </c>
      <c r="J8" s="1">
        <f t="shared" si="3"/>
        <v>1</v>
      </c>
    </row>
    <row r="9" spans="1:10" x14ac:dyDescent="0.25">
      <c r="A9" s="2">
        <v>45658</v>
      </c>
      <c r="B9">
        <v>1064</v>
      </c>
      <c r="C9" s="1">
        <f t="shared" si="0"/>
        <v>0.4172549019607843</v>
      </c>
      <c r="D9" s="3">
        <v>1480</v>
      </c>
      <c r="E9" s="1">
        <f t="shared" si="1"/>
        <v>0.58039215686274515</v>
      </c>
      <c r="F9">
        <v>6</v>
      </c>
      <c r="G9" s="1">
        <f t="shared" si="2"/>
        <v>2.352941176470588E-3</v>
      </c>
      <c r="I9">
        <f t="shared" si="3"/>
        <v>2550</v>
      </c>
      <c r="J9" s="1">
        <f t="shared" si="3"/>
        <v>1</v>
      </c>
    </row>
    <row r="10" spans="1:10" x14ac:dyDescent="0.25">
      <c r="A10" s="2">
        <v>45689</v>
      </c>
      <c r="B10">
        <v>1351</v>
      </c>
      <c r="C10" s="1">
        <f t="shared" si="0"/>
        <v>0.40053364957011561</v>
      </c>
      <c r="D10" s="3">
        <v>2012</v>
      </c>
      <c r="E10" s="1">
        <f t="shared" si="1"/>
        <v>0.59650163059590866</v>
      </c>
      <c r="F10">
        <v>10</v>
      </c>
      <c r="G10" s="1">
        <f t="shared" si="2"/>
        <v>2.9647198339756895E-3</v>
      </c>
      <c r="I10">
        <f t="shared" si="3"/>
        <v>3373</v>
      </c>
      <c r="J10" s="1">
        <f t="shared" si="3"/>
        <v>1</v>
      </c>
    </row>
    <row r="11" spans="1:10" x14ac:dyDescent="0.25">
      <c r="A11" s="2">
        <v>45717</v>
      </c>
      <c r="B11">
        <v>1992</v>
      </c>
      <c r="C11" s="1">
        <f t="shared" si="0"/>
        <v>0.38270893371757925</v>
      </c>
      <c r="D11" s="3">
        <v>3197</v>
      </c>
      <c r="E11" s="1">
        <f t="shared" si="1"/>
        <v>0.61421709894332377</v>
      </c>
      <c r="F11">
        <v>16</v>
      </c>
      <c r="G11" s="1">
        <f t="shared" si="2"/>
        <v>3.0739673390970221E-3</v>
      </c>
      <c r="I11">
        <f t="shared" si="3"/>
        <v>5205</v>
      </c>
      <c r="J11" s="1">
        <f t="shared" si="3"/>
        <v>1</v>
      </c>
    </row>
    <row r="12" spans="1:10" x14ac:dyDescent="0.25">
      <c r="A12" s="2">
        <v>45748</v>
      </c>
      <c r="B12">
        <v>1976</v>
      </c>
      <c r="C12" s="1">
        <f t="shared" si="0"/>
        <v>0.41573742899221544</v>
      </c>
      <c r="D12" s="3">
        <v>2765</v>
      </c>
      <c r="E12" s="1">
        <f t="shared" si="1"/>
        <v>0.58173784977908694</v>
      </c>
      <c r="F12">
        <v>12</v>
      </c>
      <c r="G12" s="1">
        <f t="shared" si="2"/>
        <v>2.5247212286976647E-3</v>
      </c>
      <c r="I12">
        <f t="shared" si="3"/>
        <v>4753</v>
      </c>
      <c r="J12" s="1">
        <f t="shared" si="3"/>
        <v>1</v>
      </c>
    </row>
    <row r="13" spans="1:10" x14ac:dyDescent="0.25">
      <c r="A13" s="2">
        <v>45778</v>
      </c>
      <c r="B13">
        <v>1987</v>
      </c>
      <c r="C13" s="1">
        <f t="shared" si="0"/>
        <v>0.39771817453963171</v>
      </c>
      <c r="D13" s="3">
        <v>2993</v>
      </c>
      <c r="E13" s="1">
        <f t="shared" si="1"/>
        <v>0.59907926341072859</v>
      </c>
      <c r="F13">
        <v>16</v>
      </c>
      <c r="G13" s="1">
        <f t="shared" si="2"/>
        <v>3.2025620496397116E-3</v>
      </c>
      <c r="I13">
        <f t="shared" si="3"/>
        <v>4996</v>
      </c>
      <c r="J13" s="1">
        <f t="shared" si="3"/>
        <v>1</v>
      </c>
    </row>
    <row r="14" spans="1:10" x14ac:dyDescent="0.25">
      <c r="A14" s="2">
        <v>45809</v>
      </c>
      <c r="B14">
        <v>1679</v>
      </c>
      <c r="C14" s="1">
        <f t="shared" si="0"/>
        <v>0.41051344743276286</v>
      </c>
      <c r="D14" s="3">
        <v>2397</v>
      </c>
      <c r="E14" s="1">
        <f t="shared" si="1"/>
        <v>0.58606356968215156</v>
      </c>
      <c r="F14">
        <v>14</v>
      </c>
      <c r="G14" s="1">
        <f t="shared" si="2"/>
        <v>3.4229828850855745E-3</v>
      </c>
      <c r="I14">
        <f t="shared" si="3"/>
        <v>4090</v>
      </c>
      <c r="J14" s="1">
        <f t="shared" si="3"/>
        <v>1</v>
      </c>
    </row>
    <row r="15" spans="1:10" x14ac:dyDescent="0.25">
      <c r="A15" s="2">
        <v>45839</v>
      </c>
      <c r="B15">
        <v>1063</v>
      </c>
      <c r="C15" s="1">
        <f t="shared" si="0"/>
        <v>0.39782934131736525</v>
      </c>
      <c r="D15" s="3">
        <v>1597</v>
      </c>
      <c r="E15" s="1">
        <f t="shared" si="1"/>
        <v>0.59767964071856283</v>
      </c>
      <c r="F15">
        <v>12</v>
      </c>
      <c r="G15" s="1">
        <f t="shared" si="2"/>
        <v>4.4910179640718561E-3</v>
      </c>
      <c r="I15">
        <f t="shared" si="3"/>
        <v>2672</v>
      </c>
      <c r="J15" s="1">
        <f t="shared" si="3"/>
        <v>0.99999999999999989</v>
      </c>
    </row>
    <row r="16" spans="1:10" x14ac:dyDescent="0.25">
      <c r="A16" s="2">
        <v>45870</v>
      </c>
      <c r="B16">
        <v>570</v>
      </c>
      <c r="C16" s="1">
        <f t="shared" si="0"/>
        <v>0.25232403718459495</v>
      </c>
      <c r="D16" s="3">
        <v>1605</v>
      </c>
      <c r="E16" s="1">
        <f t="shared" si="1"/>
        <v>0.71049136786188583</v>
      </c>
      <c r="F16">
        <v>84</v>
      </c>
      <c r="G16" s="1">
        <f t="shared" si="2"/>
        <v>3.7184594953519258E-2</v>
      </c>
      <c r="I16">
        <f t="shared" si="3"/>
        <v>2259</v>
      </c>
      <c r="J16" s="1">
        <f t="shared" si="3"/>
        <v>1</v>
      </c>
    </row>
    <row r="17" spans="1:10" x14ac:dyDescent="0.25">
      <c r="A17" s="2">
        <v>45901</v>
      </c>
      <c r="B17">
        <v>1545</v>
      </c>
      <c r="C17" s="1">
        <f t="shared" si="0"/>
        <v>0.2911249293386094</v>
      </c>
      <c r="D17" s="3">
        <v>3564</v>
      </c>
      <c r="E17" s="1">
        <f t="shared" si="1"/>
        <v>0.67156585641605426</v>
      </c>
      <c r="F17">
        <v>198</v>
      </c>
      <c r="G17" s="1">
        <f t="shared" si="2"/>
        <v>3.7309214245336349E-2</v>
      </c>
      <c r="I17">
        <f t="shared" si="3"/>
        <v>5307</v>
      </c>
      <c r="J17" s="1">
        <f t="shared" si="3"/>
        <v>1</v>
      </c>
    </row>
    <row r="18" spans="1:10" x14ac:dyDescent="0.25">
      <c r="A18" s="2">
        <v>45931</v>
      </c>
      <c r="B18">
        <v>1698</v>
      </c>
      <c r="C18" s="1">
        <f t="shared" si="0"/>
        <v>0.28380411164967406</v>
      </c>
      <c r="D18" s="3">
        <v>4078</v>
      </c>
      <c r="E18" s="1">
        <f t="shared" si="1"/>
        <v>0.68159786060504768</v>
      </c>
      <c r="F18">
        <v>207</v>
      </c>
      <c r="G18" s="1">
        <f t="shared" si="2"/>
        <v>3.4598027745278287E-2</v>
      </c>
      <c r="I18">
        <f t="shared" si="3"/>
        <v>5983</v>
      </c>
      <c r="J18" s="1">
        <f t="shared" si="3"/>
        <v>1</v>
      </c>
    </row>
    <row r="19" spans="1:10" x14ac:dyDescent="0.25">
      <c r="A19" s="2">
        <v>45962</v>
      </c>
      <c r="B19">
        <v>2381</v>
      </c>
      <c r="C19" s="1">
        <f t="shared" si="0"/>
        <v>0.41058803241938263</v>
      </c>
      <c r="D19" s="3">
        <v>3402</v>
      </c>
      <c r="E19" s="1">
        <f t="shared" si="1"/>
        <v>0.58665287118468701</v>
      </c>
      <c r="F19">
        <v>16</v>
      </c>
      <c r="G19" s="1">
        <f t="shared" si="2"/>
        <v>2.7590963959303327E-3</v>
      </c>
      <c r="I19">
        <f t="shared" si="3"/>
        <v>5799</v>
      </c>
      <c r="J19" s="1">
        <f t="shared" si="3"/>
        <v>1</v>
      </c>
    </row>
    <row r="20" spans="1:10" x14ac:dyDescent="0.25">
      <c r="A20" s="2">
        <v>45992</v>
      </c>
      <c r="B20">
        <v>2730</v>
      </c>
      <c r="C20" s="1">
        <f t="shared" si="0"/>
        <v>0.41807044410413474</v>
      </c>
      <c r="D20" s="3">
        <v>3776</v>
      </c>
      <c r="E20" s="1">
        <f t="shared" si="1"/>
        <v>0.57825421133231236</v>
      </c>
      <c r="F20">
        <v>24</v>
      </c>
      <c r="G20" s="1">
        <f t="shared" si="2"/>
        <v>3.675344563552833E-3</v>
      </c>
      <c r="I20">
        <f t="shared" si="3"/>
        <v>6530</v>
      </c>
      <c r="J20" s="1">
        <f t="shared" si="3"/>
        <v>0.99999999999999989</v>
      </c>
    </row>
    <row r="23" spans="1:10" x14ac:dyDescent="0.25">
      <c r="B23" s="6"/>
    </row>
    <row r="29" spans="1:10" x14ac:dyDescent="0.25">
      <c r="D29" s="3"/>
    </row>
  </sheetData>
  <mergeCells count="3">
    <mergeCell ref="B1:C1"/>
    <mergeCell ref="D1:E1"/>
    <mergeCell ref="F1:G1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BC57-2088-4E51-BD3D-2920E3DA2DBD}">
  <dimension ref="A1:J29"/>
  <sheetViews>
    <sheetView zoomScale="145" zoomScaleNormal="145" workbookViewId="0">
      <selection activeCell="C2" sqref="C2"/>
    </sheetView>
  </sheetViews>
  <sheetFormatPr defaultRowHeight="15.75" x14ac:dyDescent="0.25"/>
  <cols>
    <col min="1" max="1" width="11.140625" bestFit="1" customWidth="1"/>
    <col min="2" max="2" width="5.7109375" bestFit="1" customWidth="1"/>
    <col min="3" max="3" width="8.5703125" bestFit="1" customWidth="1"/>
    <col min="4" max="4" width="5.7109375" style="4" bestFit="1" customWidth="1"/>
    <col min="5" max="5" width="8.5703125" bestFit="1" customWidth="1"/>
    <col min="6" max="6" width="5.7109375" bestFit="1" customWidth="1"/>
    <col min="7" max="7" width="8.5703125" bestFit="1" customWidth="1"/>
    <col min="9" max="9" width="6.7109375" bestFit="1" customWidth="1"/>
    <col min="10" max="10" width="8.5703125" bestFit="1" customWidth="1"/>
  </cols>
  <sheetData>
    <row r="1" spans="1:10" x14ac:dyDescent="0.25">
      <c r="A1" t="s">
        <v>33</v>
      </c>
      <c r="B1" s="7" t="s">
        <v>39</v>
      </c>
      <c r="C1" s="7"/>
      <c r="D1" s="8" t="s">
        <v>40</v>
      </c>
      <c r="E1" s="8"/>
      <c r="F1" s="7" t="s">
        <v>41</v>
      </c>
      <c r="G1" s="7"/>
      <c r="I1" t="s">
        <v>2</v>
      </c>
    </row>
    <row r="2" spans="1:10" x14ac:dyDescent="0.25">
      <c r="A2" s="2">
        <v>45444</v>
      </c>
      <c r="B2">
        <v>3826</v>
      </c>
      <c r="C2" s="1">
        <f>B2/I2</f>
        <v>0.58780150560762023</v>
      </c>
      <c r="D2" s="3">
        <v>2422</v>
      </c>
      <c r="E2" s="1">
        <f>D2/I2</f>
        <v>0.37210016899677367</v>
      </c>
      <c r="F2">
        <v>261</v>
      </c>
      <c r="G2" s="1">
        <f>F2/I2</f>
        <v>4.0098325395606087E-2</v>
      </c>
      <c r="I2">
        <f>B2+D2+F2</f>
        <v>6509</v>
      </c>
      <c r="J2" s="1">
        <f>C2+E2+G2</f>
        <v>1</v>
      </c>
    </row>
    <row r="3" spans="1:10" x14ac:dyDescent="0.25">
      <c r="A3" s="2">
        <v>45474</v>
      </c>
      <c r="B3">
        <v>3893</v>
      </c>
      <c r="C3" s="1">
        <f>B3/I3</f>
        <v>0.6033787972721637</v>
      </c>
      <c r="D3" s="3">
        <v>2356</v>
      </c>
      <c r="E3" s="1">
        <f>D3/I3</f>
        <v>0.3651580905145691</v>
      </c>
      <c r="F3" s="3">
        <v>203</v>
      </c>
      <c r="G3" s="1">
        <f>F3/I3</f>
        <v>3.1463112213267204E-2</v>
      </c>
      <c r="I3">
        <f>B3+D3+F3</f>
        <v>6452</v>
      </c>
      <c r="J3" s="1">
        <f>C3+E3+G3</f>
        <v>1</v>
      </c>
    </row>
    <row r="4" spans="1:10" x14ac:dyDescent="0.25">
      <c r="A4" s="2">
        <v>45505</v>
      </c>
      <c r="B4">
        <v>5025</v>
      </c>
      <c r="C4" s="1">
        <f t="shared" ref="C4:C20" si="0">B4/I4</f>
        <v>0.60201269917335565</v>
      </c>
      <c r="D4" s="3">
        <v>3035</v>
      </c>
      <c r="E4" s="1">
        <f t="shared" ref="E4:E20" si="1">D4/I4</f>
        <v>0.36360368994848447</v>
      </c>
      <c r="F4">
        <v>287</v>
      </c>
      <c r="G4" s="1">
        <f t="shared" ref="G4:G20" si="2">F4/I4</f>
        <v>3.4383610878159818E-2</v>
      </c>
      <c r="I4">
        <f t="shared" ref="I4:J20" si="3">B4+D4+F4</f>
        <v>8347</v>
      </c>
      <c r="J4" s="1">
        <f t="shared" si="3"/>
        <v>0.99999999999999989</v>
      </c>
    </row>
    <row r="5" spans="1:10" x14ac:dyDescent="0.25">
      <c r="A5" s="2">
        <v>45536</v>
      </c>
      <c r="B5">
        <v>3900</v>
      </c>
      <c r="C5" s="1">
        <f t="shared" si="0"/>
        <v>0.552956188855806</v>
      </c>
      <c r="D5" s="3">
        <v>2808</v>
      </c>
      <c r="E5" s="1">
        <f t="shared" si="1"/>
        <v>0.39812845597618035</v>
      </c>
      <c r="F5">
        <v>345</v>
      </c>
      <c r="G5" s="1">
        <f t="shared" si="2"/>
        <v>4.8915355168013611E-2</v>
      </c>
      <c r="I5">
        <f t="shared" si="3"/>
        <v>7053</v>
      </c>
      <c r="J5" s="1">
        <f t="shared" si="3"/>
        <v>0.99999999999999989</v>
      </c>
    </row>
    <row r="6" spans="1:10" x14ac:dyDescent="0.25">
      <c r="A6" s="2">
        <v>45566</v>
      </c>
      <c r="B6">
        <v>3631</v>
      </c>
      <c r="C6" s="1">
        <f t="shared" si="0"/>
        <v>0.55266362252663626</v>
      </c>
      <c r="D6" s="3">
        <v>2580</v>
      </c>
      <c r="E6" s="1">
        <f t="shared" si="1"/>
        <v>0.39269406392694062</v>
      </c>
      <c r="F6">
        <v>359</v>
      </c>
      <c r="G6" s="1">
        <f t="shared" si="2"/>
        <v>5.4642313546423134E-2</v>
      </c>
      <c r="I6">
        <f t="shared" si="3"/>
        <v>6570</v>
      </c>
      <c r="J6" s="1">
        <f t="shared" si="3"/>
        <v>1</v>
      </c>
    </row>
    <row r="7" spans="1:10" x14ac:dyDescent="0.25">
      <c r="A7" s="2">
        <v>45597</v>
      </c>
      <c r="B7">
        <v>3888</v>
      </c>
      <c r="C7" s="1">
        <f t="shared" si="0"/>
        <v>0.51171360884443273</v>
      </c>
      <c r="D7" s="3">
        <v>3250</v>
      </c>
      <c r="E7" s="1">
        <f t="shared" si="1"/>
        <v>0.4277441431955778</v>
      </c>
      <c r="F7">
        <v>460</v>
      </c>
      <c r="G7" s="1">
        <f t="shared" si="2"/>
        <v>6.054224795998947E-2</v>
      </c>
      <c r="I7">
        <f t="shared" si="3"/>
        <v>7598</v>
      </c>
      <c r="J7" s="1">
        <f t="shared" si="3"/>
        <v>1</v>
      </c>
    </row>
    <row r="8" spans="1:10" x14ac:dyDescent="0.25">
      <c r="A8" s="2">
        <v>45627</v>
      </c>
      <c r="B8">
        <v>3278</v>
      </c>
      <c r="C8" s="1">
        <f t="shared" si="0"/>
        <v>0.54460873899318829</v>
      </c>
      <c r="D8" s="3">
        <v>2358</v>
      </c>
      <c r="E8" s="1">
        <f t="shared" si="1"/>
        <v>0.39175942847649109</v>
      </c>
      <c r="F8">
        <v>383</v>
      </c>
      <c r="G8" s="1">
        <f t="shared" si="2"/>
        <v>6.3631832530320648E-2</v>
      </c>
      <c r="I8">
        <f t="shared" si="3"/>
        <v>6019</v>
      </c>
      <c r="J8" s="1">
        <f t="shared" si="3"/>
        <v>1</v>
      </c>
    </row>
    <row r="9" spans="1:10" x14ac:dyDescent="0.25">
      <c r="A9" s="2">
        <v>45658</v>
      </c>
      <c r="B9">
        <v>3039</v>
      </c>
      <c r="C9" s="1">
        <f t="shared" si="0"/>
        <v>0.57393767705382437</v>
      </c>
      <c r="D9" s="3">
        <v>1956</v>
      </c>
      <c r="E9" s="1">
        <f t="shared" si="1"/>
        <v>0.36940509915014164</v>
      </c>
      <c r="F9">
        <v>300</v>
      </c>
      <c r="G9" s="1">
        <f t="shared" si="2"/>
        <v>5.6657223796033995E-2</v>
      </c>
      <c r="I9">
        <f t="shared" si="3"/>
        <v>5295</v>
      </c>
      <c r="J9" s="1">
        <f t="shared" si="3"/>
        <v>1</v>
      </c>
    </row>
    <row r="10" spans="1:10" x14ac:dyDescent="0.25">
      <c r="A10" s="2">
        <v>45689</v>
      </c>
      <c r="B10">
        <v>2766</v>
      </c>
      <c r="C10" s="1">
        <f t="shared" si="0"/>
        <v>0.57397800373521479</v>
      </c>
      <c r="D10" s="3">
        <v>1741</v>
      </c>
      <c r="E10" s="1">
        <f t="shared" si="1"/>
        <v>0.36127827350072628</v>
      </c>
      <c r="F10">
        <v>312</v>
      </c>
      <c r="G10" s="1">
        <f t="shared" si="2"/>
        <v>6.4743722764058931E-2</v>
      </c>
      <c r="I10">
        <f t="shared" si="3"/>
        <v>4819</v>
      </c>
      <c r="J10" s="1">
        <f t="shared" si="3"/>
        <v>1</v>
      </c>
    </row>
    <row r="11" spans="1:10" x14ac:dyDescent="0.25">
      <c r="A11" s="2">
        <v>45717</v>
      </c>
      <c r="B11">
        <v>3243</v>
      </c>
      <c r="C11" s="1">
        <f t="shared" si="0"/>
        <v>0.57571453932185335</v>
      </c>
      <c r="D11" s="3">
        <v>2070</v>
      </c>
      <c r="E11" s="1">
        <f t="shared" si="1"/>
        <v>0.36747736552458726</v>
      </c>
      <c r="F11">
        <v>320</v>
      </c>
      <c r="G11" s="1">
        <f t="shared" si="2"/>
        <v>5.6808095153559383E-2</v>
      </c>
      <c r="I11">
        <f t="shared" si="3"/>
        <v>5633</v>
      </c>
      <c r="J11" s="1">
        <f t="shared" si="3"/>
        <v>0.99999999999999989</v>
      </c>
    </row>
    <row r="12" spans="1:10" x14ac:dyDescent="0.25">
      <c r="A12" s="2">
        <v>45748</v>
      </c>
      <c r="B12">
        <v>3964</v>
      </c>
      <c r="C12" s="1">
        <f t="shared" si="0"/>
        <v>0.56306818181818186</v>
      </c>
      <c r="D12" s="3">
        <v>2757</v>
      </c>
      <c r="E12" s="1">
        <f t="shared" si="1"/>
        <v>0.39161931818181817</v>
      </c>
      <c r="F12">
        <v>319</v>
      </c>
      <c r="G12" s="1">
        <f t="shared" si="2"/>
        <v>4.5312499999999999E-2</v>
      </c>
      <c r="I12">
        <f t="shared" si="3"/>
        <v>7040</v>
      </c>
      <c r="J12" s="1">
        <f t="shared" si="3"/>
        <v>1</v>
      </c>
    </row>
    <row r="13" spans="1:10" x14ac:dyDescent="0.25">
      <c r="A13" s="2">
        <v>45778</v>
      </c>
      <c r="B13">
        <v>4355</v>
      </c>
      <c r="C13" s="1">
        <f t="shared" si="0"/>
        <v>0.5863740406624478</v>
      </c>
      <c r="D13" s="3">
        <v>2752</v>
      </c>
      <c r="E13" s="1">
        <f t="shared" si="1"/>
        <v>0.37053992190655716</v>
      </c>
      <c r="F13">
        <v>320</v>
      </c>
      <c r="G13" s="1">
        <f t="shared" si="2"/>
        <v>4.3086037430995018E-2</v>
      </c>
      <c r="I13">
        <f t="shared" si="3"/>
        <v>7427</v>
      </c>
      <c r="J13" s="1">
        <f t="shared" si="3"/>
        <v>1</v>
      </c>
    </row>
    <row r="14" spans="1:10" x14ac:dyDescent="0.25">
      <c r="A14" s="2">
        <v>45809</v>
      </c>
      <c r="B14">
        <v>4331</v>
      </c>
      <c r="C14" s="1">
        <f t="shared" si="0"/>
        <v>0.57356641504436501</v>
      </c>
      <c r="D14" s="3">
        <v>2895</v>
      </c>
      <c r="E14" s="1">
        <f t="shared" si="1"/>
        <v>0.38339292808899483</v>
      </c>
      <c r="F14">
        <v>325</v>
      </c>
      <c r="G14" s="1">
        <f t="shared" si="2"/>
        <v>4.304065686664018E-2</v>
      </c>
      <c r="I14">
        <f t="shared" si="3"/>
        <v>7551</v>
      </c>
      <c r="J14" s="1">
        <f t="shared" si="3"/>
        <v>1</v>
      </c>
    </row>
    <row r="15" spans="1:10" x14ac:dyDescent="0.25">
      <c r="A15" s="2">
        <v>45839</v>
      </c>
      <c r="B15">
        <v>4293</v>
      </c>
      <c r="C15" s="1">
        <f t="shared" si="0"/>
        <v>0.60176619007569387</v>
      </c>
      <c r="D15" s="3">
        <v>2585</v>
      </c>
      <c r="E15" s="1">
        <f t="shared" si="1"/>
        <v>0.36234931314830388</v>
      </c>
      <c r="F15">
        <v>256</v>
      </c>
      <c r="G15" s="1">
        <f t="shared" si="2"/>
        <v>3.5884496776002243E-2</v>
      </c>
      <c r="I15">
        <f t="shared" si="3"/>
        <v>7134</v>
      </c>
      <c r="J15" s="1">
        <f t="shared" si="3"/>
        <v>1</v>
      </c>
    </row>
    <row r="16" spans="1:10" x14ac:dyDescent="0.25">
      <c r="A16" s="2">
        <v>45870</v>
      </c>
      <c r="B16">
        <v>4761</v>
      </c>
      <c r="C16" s="1">
        <f t="shared" si="0"/>
        <v>0.58901397995793636</v>
      </c>
      <c r="D16" s="3">
        <v>3083</v>
      </c>
      <c r="E16" s="1">
        <f t="shared" si="1"/>
        <v>0.38141779042434737</v>
      </c>
      <c r="F16">
        <v>239</v>
      </c>
      <c r="G16" s="1">
        <f t="shared" si="2"/>
        <v>2.9568229617716196E-2</v>
      </c>
      <c r="I16">
        <f t="shared" si="3"/>
        <v>8083</v>
      </c>
      <c r="J16" s="1">
        <f t="shared" si="3"/>
        <v>1</v>
      </c>
    </row>
    <row r="17" spans="1:10" x14ac:dyDescent="0.25">
      <c r="A17" s="2">
        <v>45901</v>
      </c>
      <c r="B17">
        <v>3357</v>
      </c>
      <c r="C17" s="1">
        <f t="shared" si="0"/>
        <v>0.57140425531914896</v>
      </c>
      <c r="D17" s="3">
        <v>2182</v>
      </c>
      <c r="E17" s="1">
        <f t="shared" si="1"/>
        <v>0.37140425531914895</v>
      </c>
      <c r="F17">
        <v>336</v>
      </c>
      <c r="G17" s="1">
        <f t="shared" si="2"/>
        <v>5.7191489361702125E-2</v>
      </c>
      <c r="I17">
        <f t="shared" si="3"/>
        <v>5875</v>
      </c>
      <c r="J17" s="1">
        <f t="shared" si="3"/>
        <v>1</v>
      </c>
    </row>
    <row r="18" spans="1:10" x14ac:dyDescent="0.25">
      <c r="A18" s="2">
        <v>45931</v>
      </c>
      <c r="B18">
        <v>3888</v>
      </c>
      <c r="C18" s="1">
        <f t="shared" si="0"/>
        <v>0.55519063258603452</v>
      </c>
      <c r="D18" s="3">
        <v>2745</v>
      </c>
      <c r="E18" s="1">
        <f t="shared" si="1"/>
        <v>0.39197486791375125</v>
      </c>
      <c r="F18">
        <v>370</v>
      </c>
      <c r="G18" s="1">
        <f t="shared" si="2"/>
        <v>5.2834499500214196E-2</v>
      </c>
      <c r="I18">
        <f t="shared" si="3"/>
        <v>7003</v>
      </c>
      <c r="J18" s="1">
        <f t="shared" si="3"/>
        <v>1</v>
      </c>
    </row>
    <row r="19" spans="1:10" x14ac:dyDescent="0.25">
      <c r="A19" s="2">
        <v>45962</v>
      </c>
      <c r="B19">
        <v>3161</v>
      </c>
      <c r="C19" s="1">
        <f t="shared" si="0"/>
        <v>0.56537292076551604</v>
      </c>
      <c r="D19" s="3">
        <v>2148</v>
      </c>
      <c r="E19" s="1">
        <f t="shared" si="1"/>
        <v>0.38418887497764265</v>
      </c>
      <c r="F19">
        <v>282</v>
      </c>
      <c r="G19" s="1">
        <f t="shared" si="2"/>
        <v>5.0438204256841354E-2</v>
      </c>
      <c r="I19">
        <f t="shared" si="3"/>
        <v>5591</v>
      </c>
      <c r="J19" s="1">
        <f t="shared" si="3"/>
        <v>1</v>
      </c>
    </row>
    <row r="20" spans="1:10" x14ac:dyDescent="0.25">
      <c r="A20" s="2">
        <v>45992</v>
      </c>
      <c r="B20">
        <v>3754</v>
      </c>
      <c r="C20" s="1">
        <f t="shared" si="0"/>
        <v>0.57869585324495143</v>
      </c>
      <c r="D20" s="3">
        <v>2414</v>
      </c>
      <c r="E20" s="1">
        <f t="shared" si="1"/>
        <v>0.37212887313087711</v>
      </c>
      <c r="F20">
        <v>319</v>
      </c>
      <c r="G20" s="1">
        <f t="shared" si="2"/>
        <v>4.9175273624171421E-2</v>
      </c>
      <c r="I20">
        <f t="shared" si="3"/>
        <v>6487</v>
      </c>
      <c r="J20" s="1">
        <f t="shared" si="3"/>
        <v>0.99999999999999989</v>
      </c>
    </row>
    <row r="23" spans="1:10" x14ac:dyDescent="0.25">
      <c r="B23" s="6"/>
    </row>
    <row r="29" spans="1:10" x14ac:dyDescent="0.25">
      <c r="D29" s="3"/>
    </row>
  </sheetData>
  <mergeCells count="3">
    <mergeCell ref="B1:C1"/>
    <mergeCell ref="D1:E1"/>
    <mergeCell ref="F1:G1"/>
  </mergeCells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D465-F18A-4918-B9AD-6CBF620A4548}">
  <dimension ref="A1:J29"/>
  <sheetViews>
    <sheetView zoomScale="145" zoomScaleNormal="145" workbookViewId="0">
      <selection activeCell="G23" sqref="G23"/>
    </sheetView>
  </sheetViews>
  <sheetFormatPr defaultRowHeight="15.75" x14ac:dyDescent="0.25"/>
  <cols>
    <col min="1" max="1" width="11.140625" bestFit="1" customWidth="1"/>
    <col min="2" max="2" width="5.7109375" bestFit="1" customWidth="1"/>
    <col min="3" max="3" width="8.5703125" bestFit="1" customWidth="1"/>
    <col min="4" max="4" width="5.7109375" style="4" bestFit="1" customWidth="1"/>
    <col min="5" max="5" width="8.5703125" bestFit="1" customWidth="1"/>
    <col min="6" max="6" width="5.7109375" bestFit="1" customWidth="1"/>
    <col min="7" max="7" width="8.5703125" bestFit="1" customWidth="1"/>
    <col min="9" max="9" width="6.7109375" bestFit="1" customWidth="1"/>
    <col min="10" max="10" width="8.5703125" bestFit="1" customWidth="1"/>
  </cols>
  <sheetData>
    <row r="1" spans="1:10" x14ac:dyDescent="0.25">
      <c r="A1" t="s">
        <v>33</v>
      </c>
      <c r="B1" s="7" t="s">
        <v>39</v>
      </c>
      <c r="C1" s="7"/>
      <c r="D1" s="8" t="s">
        <v>40</v>
      </c>
      <c r="E1" s="8"/>
      <c r="F1" s="7" t="s">
        <v>41</v>
      </c>
      <c r="G1" s="7"/>
      <c r="I1" t="s">
        <v>2</v>
      </c>
    </row>
    <row r="2" spans="1:10" x14ac:dyDescent="0.25">
      <c r="A2" s="2">
        <v>45444</v>
      </c>
      <c r="B2">
        <v>77</v>
      </c>
      <c r="C2" s="1">
        <f>B2/I2</f>
        <v>0.35813953488372091</v>
      </c>
      <c r="D2" s="3">
        <v>52</v>
      </c>
      <c r="E2" s="1">
        <f>D2/I2</f>
        <v>0.24186046511627907</v>
      </c>
      <c r="F2">
        <v>86</v>
      </c>
      <c r="G2" s="1">
        <f>F2/I2</f>
        <v>0.4</v>
      </c>
      <c r="I2">
        <f>B2+D2+F2</f>
        <v>215</v>
      </c>
      <c r="J2" s="1">
        <f>C2+E2+G2</f>
        <v>1</v>
      </c>
    </row>
    <row r="3" spans="1:10" x14ac:dyDescent="0.25">
      <c r="A3" s="2">
        <v>45474</v>
      </c>
      <c r="B3">
        <v>54</v>
      </c>
      <c r="C3" s="1">
        <f>B3/I3</f>
        <v>0.33750000000000002</v>
      </c>
      <c r="D3" s="3">
        <v>59</v>
      </c>
      <c r="E3" s="1">
        <f>D3/I3</f>
        <v>0.36875000000000002</v>
      </c>
      <c r="F3" s="3">
        <v>47</v>
      </c>
      <c r="G3" s="1">
        <f>F3/I3</f>
        <v>0.29375000000000001</v>
      </c>
      <c r="I3">
        <f>B3+D3+F3</f>
        <v>160</v>
      </c>
      <c r="J3" s="1">
        <f>C3+E3+G3</f>
        <v>1</v>
      </c>
    </row>
    <row r="4" spans="1:10" x14ac:dyDescent="0.25">
      <c r="A4" s="2">
        <v>45505</v>
      </c>
      <c r="B4">
        <v>96</v>
      </c>
      <c r="C4" s="1">
        <f t="shared" ref="C4:C20" si="0">B4/I4</f>
        <v>0.41921397379912662</v>
      </c>
      <c r="D4" s="3">
        <v>83</v>
      </c>
      <c r="E4" s="1">
        <f t="shared" ref="E4:E20" si="1">D4/I4</f>
        <v>0.36244541484716158</v>
      </c>
      <c r="F4">
        <v>50</v>
      </c>
      <c r="G4" s="1">
        <f t="shared" ref="G4:G20" si="2">F4/I4</f>
        <v>0.2183406113537118</v>
      </c>
      <c r="I4">
        <f t="shared" ref="I4:J20" si="3">B4+D4+F4</f>
        <v>229</v>
      </c>
      <c r="J4" s="1">
        <f t="shared" si="3"/>
        <v>1</v>
      </c>
    </row>
    <row r="5" spans="1:10" x14ac:dyDescent="0.25">
      <c r="A5" s="2">
        <v>45536</v>
      </c>
      <c r="B5">
        <v>82</v>
      </c>
      <c r="C5" s="1">
        <f t="shared" si="0"/>
        <v>0.26973684210526316</v>
      </c>
      <c r="D5" s="3">
        <v>89</v>
      </c>
      <c r="E5" s="1">
        <f t="shared" si="1"/>
        <v>0.29276315789473684</v>
      </c>
      <c r="F5">
        <v>133</v>
      </c>
      <c r="G5" s="1">
        <f t="shared" si="2"/>
        <v>0.4375</v>
      </c>
      <c r="I5">
        <f t="shared" si="3"/>
        <v>304</v>
      </c>
      <c r="J5" s="1">
        <f t="shared" si="3"/>
        <v>1</v>
      </c>
    </row>
    <row r="6" spans="1:10" x14ac:dyDescent="0.25">
      <c r="A6" s="2">
        <v>45566</v>
      </c>
      <c r="B6">
        <v>100</v>
      </c>
      <c r="C6" s="1">
        <f t="shared" si="0"/>
        <v>0.33112582781456956</v>
      </c>
      <c r="D6" s="3">
        <v>75</v>
      </c>
      <c r="E6" s="1">
        <f t="shared" si="1"/>
        <v>0.24834437086092714</v>
      </c>
      <c r="F6">
        <v>127</v>
      </c>
      <c r="G6" s="1">
        <f t="shared" si="2"/>
        <v>0.42052980132450329</v>
      </c>
      <c r="I6">
        <f t="shared" si="3"/>
        <v>302</v>
      </c>
      <c r="J6" s="1">
        <f t="shared" si="3"/>
        <v>1</v>
      </c>
    </row>
    <row r="7" spans="1:10" x14ac:dyDescent="0.25">
      <c r="A7" s="2">
        <v>45597</v>
      </c>
      <c r="B7">
        <v>89</v>
      </c>
      <c r="C7" s="1">
        <f t="shared" si="0"/>
        <v>0.27051671732522797</v>
      </c>
      <c r="D7" s="3">
        <v>102</v>
      </c>
      <c r="E7" s="1">
        <f t="shared" si="1"/>
        <v>0.3100303951367781</v>
      </c>
      <c r="F7">
        <v>138</v>
      </c>
      <c r="G7" s="1">
        <f t="shared" si="2"/>
        <v>0.41945288753799392</v>
      </c>
      <c r="I7">
        <f t="shared" si="3"/>
        <v>329</v>
      </c>
      <c r="J7" s="1">
        <f t="shared" si="3"/>
        <v>1</v>
      </c>
    </row>
    <row r="8" spans="1:10" x14ac:dyDescent="0.25">
      <c r="A8" s="2">
        <v>45627</v>
      </c>
      <c r="B8">
        <v>87</v>
      </c>
      <c r="C8" s="1">
        <f t="shared" si="0"/>
        <v>0.28155339805825241</v>
      </c>
      <c r="D8" s="3">
        <v>84</v>
      </c>
      <c r="E8" s="1">
        <f t="shared" si="1"/>
        <v>0.27184466019417475</v>
      </c>
      <c r="F8">
        <v>138</v>
      </c>
      <c r="G8" s="1">
        <f t="shared" si="2"/>
        <v>0.44660194174757284</v>
      </c>
      <c r="I8">
        <f t="shared" si="3"/>
        <v>309</v>
      </c>
      <c r="J8" s="1">
        <f t="shared" si="3"/>
        <v>1</v>
      </c>
    </row>
    <row r="9" spans="1:10" x14ac:dyDescent="0.25">
      <c r="A9" s="2">
        <v>45658</v>
      </c>
      <c r="B9">
        <v>86</v>
      </c>
      <c r="C9" s="1">
        <f t="shared" si="0"/>
        <v>0.2986111111111111</v>
      </c>
      <c r="D9" s="3">
        <v>85</v>
      </c>
      <c r="E9" s="1">
        <f t="shared" si="1"/>
        <v>0.2951388888888889</v>
      </c>
      <c r="F9">
        <v>117</v>
      </c>
      <c r="G9" s="1">
        <f t="shared" si="2"/>
        <v>0.40625</v>
      </c>
      <c r="I9">
        <f t="shared" si="3"/>
        <v>288</v>
      </c>
      <c r="J9" s="1">
        <f t="shared" si="3"/>
        <v>1</v>
      </c>
    </row>
    <row r="10" spans="1:10" x14ac:dyDescent="0.25">
      <c r="A10" s="2">
        <v>45689</v>
      </c>
      <c r="B10">
        <v>82</v>
      </c>
      <c r="C10" s="1">
        <f t="shared" si="0"/>
        <v>0.27424749163879597</v>
      </c>
      <c r="D10" s="3">
        <v>102</v>
      </c>
      <c r="E10" s="1">
        <f t="shared" si="1"/>
        <v>0.34113712374581939</v>
      </c>
      <c r="F10">
        <v>115</v>
      </c>
      <c r="G10" s="1">
        <f t="shared" si="2"/>
        <v>0.38461538461538464</v>
      </c>
      <c r="I10">
        <f t="shared" si="3"/>
        <v>299</v>
      </c>
      <c r="J10" s="1">
        <f t="shared" si="3"/>
        <v>1</v>
      </c>
    </row>
    <row r="11" spans="1:10" x14ac:dyDescent="0.25">
      <c r="A11" s="2">
        <v>45717</v>
      </c>
      <c r="B11">
        <v>84</v>
      </c>
      <c r="C11" s="1">
        <f t="shared" si="0"/>
        <v>0.27722772277227725</v>
      </c>
      <c r="D11" s="3">
        <v>83</v>
      </c>
      <c r="E11" s="1">
        <f t="shared" si="1"/>
        <v>0.27392739273927391</v>
      </c>
      <c r="F11">
        <v>136</v>
      </c>
      <c r="G11" s="1">
        <f t="shared" si="2"/>
        <v>0.44884488448844884</v>
      </c>
      <c r="I11">
        <f t="shared" si="3"/>
        <v>303</v>
      </c>
      <c r="J11" s="1">
        <f t="shared" si="3"/>
        <v>1</v>
      </c>
    </row>
    <row r="12" spans="1:10" x14ac:dyDescent="0.25">
      <c r="A12" s="2">
        <v>45748</v>
      </c>
      <c r="B12">
        <v>91</v>
      </c>
      <c r="C12" s="1">
        <f t="shared" si="0"/>
        <v>0.26923076923076922</v>
      </c>
      <c r="D12" s="3">
        <v>115</v>
      </c>
      <c r="E12" s="1">
        <f t="shared" si="1"/>
        <v>0.34023668639053256</v>
      </c>
      <c r="F12">
        <v>132</v>
      </c>
      <c r="G12" s="1">
        <f t="shared" si="2"/>
        <v>0.39053254437869822</v>
      </c>
      <c r="I12">
        <f t="shared" si="3"/>
        <v>338</v>
      </c>
      <c r="J12" s="1">
        <f t="shared" si="3"/>
        <v>1</v>
      </c>
    </row>
    <row r="13" spans="1:10" x14ac:dyDescent="0.25">
      <c r="A13" s="2">
        <v>45778</v>
      </c>
      <c r="B13">
        <v>102</v>
      </c>
      <c r="C13" s="1">
        <f t="shared" si="0"/>
        <v>0.28099173553719009</v>
      </c>
      <c r="D13" s="3">
        <v>123</v>
      </c>
      <c r="E13" s="1">
        <f t="shared" si="1"/>
        <v>0.33884297520661155</v>
      </c>
      <c r="F13">
        <v>138</v>
      </c>
      <c r="G13" s="1">
        <f t="shared" si="2"/>
        <v>0.38016528925619836</v>
      </c>
      <c r="I13">
        <f t="shared" si="3"/>
        <v>363</v>
      </c>
      <c r="J13" s="1">
        <f t="shared" si="3"/>
        <v>1</v>
      </c>
    </row>
    <row r="14" spans="1:10" x14ac:dyDescent="0.25">
      <c r="A14" s="2">
        <v>45809</v>
      </c>
      <c r="B14">
        <v>95</v>
      </c>
      <c r="C14" s="1">
        <f t="shared" si="0"/>
        <v>0.26243093922651933</v>
      </c>
      <c r="D14" s="3">
        <v>128</v>
      </c>
      <c r="E14" s="1">
        <f t="shared" si="1"/>
        <v>0.35359116022099446</v>
      </c>
      <c r="F14">
        <v>139</v>
      </c>
      <c r="G14" s="1">
        <f t="shared" si="2"/>
        <v>0.38397790055248621</v>
      </c>
      <c r="I14">
        <f t="shared" si="3"/>
        <v>362</v>
      </c>
      <c r="J14" s="1">
        <f t="shared" si="3"/>
        <v>1</v>
      </c>
    </row>
    <row r="15" spans="1:10" x14ac:dyDescent="0.25">
      <c r="A15" s="2">
        <v>45839</v>
      </c>
      <c r="B15">
        <v>98</v>
      </c>
      <c r="C15" s="1">
        <f t="shared" si="0"/>
        <v>0.33793103448275863</v>
      </c>
      <c r="D15" s="3">
        <v>115</v>
      </c>
      <c r="E15" s="1">
        <f t="shared" si="1"/>
        <v>0.39655172413793105</v>
      </c>
      <c r="F15">
        <v>77</v>
      </c>
      <c r="G15" s="1">
        <f t="shared" si="2"/>
        <v>0.26551724137931032</v>
      </c>
      <c r="I15">
        <f t="shared" si="3"/>
        <v>290</v>
      </c>
      <c r="J15" s="1">
        <f t="shared" si="3"/>
        <v>1</v>
      </c>
    </row>
    <row r="16" spans="1:10" x14ac:dyDescent="0.25">
      <c r="A16" s="2">
        <v>45870</v>
      </c>
      <c r="B16">
        <v>138</v>
      </c>
      <c r="C16" s="1">
        <f t="shared" si="0"/>
        <v>0.39316239316239315</v>
      </c>
      <c r="D16" s="3">
        <v>142</v>
      </c>
      <c r="E16" s="1">
        <f t="shared" si="1"/>
        <v>0.40455840455840458</v>
      </c>
      <c r="F16">
        <v>71</v>
      </c>
      <c r="G16" s="1">
        <f t="shared" si="2"/>
        <v>0.20227920227920229</v>
      </c>
      <c r="I16">
        <f t="shared" si="3"/>
        <v>351</v>
      </c>
      <c r="J16" s="1">
        <f t="shared" si="3"/>
        <v>1</v>
      </c>
    </row>
    <row r="17" spans="1:10" x14ac:dyDescent="0.25">
      <c r="A17" s="2">
        <v>45901</v>
      </c>
      <c r="B17">
        <v>40</v>
      </c>
      <c r="C17" s="1">
        <f t="shared" si="0"/>
        <v>0.10666666666666667</v>
      </c>
      <c r="D17" s="3">
        <v>171</v>
      </c>
      <c r="E17" s="1">
        <f t="shared" si="1"/>
        <v>0.45600000000000002</v>
      </c>
      <c r="F17">
        <v>164</v>
      </c>
      <c r="G17" s="1">
        <f t="shared" si="2"/>
        <v>0.43733333333333335</v>
      </c>
      <c r="I17">
        <f t="shared" si="3"/>
        <v>375</v>
      </c>
      <c r="J17" s="1">
        <f t="shared" si="3"/>
        <v>1</v>
      </c>
    </row>
    <row r="18" spans="1:10" x14ac:dyDescent="0.25">
      <c r="A18" s="2">
        <v>45931</v>
      </c>
      <c r="B18">
        <v>44</v>
      </c>
      <c r="C18" s="1">
        <f t="shared" si="0"/>
        <v>0.10918114143920596</v>
      </c>
      <c r="D18" s="3">
        <v>176</v>
      </c>
      <c r="E18" s="1">
        <f t="shared" si="1"/>
        <v>0.43672456575682383</v>
      </c>
      <c r="F18">
        <v>183</v>
      </c>
      <c r="G18" s="1">
        <f t="shared" si="2"/>
        <v>0.45409429280397023</v>
      </c>
      <c r="I18">
        <f t="shared" si="3"/>
        <v>403</v>
      </c>
      <c r="J18" s="1">
        <f t="shared" si="3"/>
        <v>1</v>
      </c>
    </row>
    <row r="19" spans="1:10" x14ac:dyDescent="0.25">
      <c r="A19" s="2">
        <v>45962</v>
      </c>
      <c r="B19">
        <v>108</v>
      </c>
      <c r="C19" s="1">
        <f t="shared" si="0"/>
        <v>0.3323076923076923</v>
      </c>
      <c r="D19" s="3">
        <v>110</v>
      </c>
      <c r="E19" s="1">
        <f t="shared" si="1"/>
        <v>0.33846153846153848</v>
      </c>
      <c r="F19">
        <v>107</v>
      </c>
      <c r="G19" s="1">
        <f t="shared" si="2"/>
        <v>0.32923076923076922</v>
      </c>
      <c r="I19">
        <f t="shared" si="3"/>
        <v>325</v>
      </c>
      <c r="J19" s="1">
        <f t="shared" si="3"/>
        <v>1</v>
      </c>
    </row>
    <row r="20" spans="1:10" x14ac:dyDescent="0.25">
      <c r="A20" s="2">
        <v>45992</v>
      </c>
      <c r="B20">
        <v>98</v>
      </c>
      <c r="C20" s="1">
        <f t="shared" si="0"/>
        <v>0.29696969696969699</v>
      </c>
      <c r="D20" s="3">
        <v>114</v>
      </c>
      <c r="E20" s="1">
        <f t="shared" si="1"/>
        <v>0.34545454545454546</v>
      </c>
      <c r="F20">
        <v>118</v>
      </c>
      <c r="G20" s="1">
        <f t="shared" si="2"/>
        <v>0.3575757575757576</v>
      </c>
      <c r="I20">
        <f t="shared" si="3"/>
        <v>330</v>
      </c>
      <c r="J20" s="1">
        <f t="shared" si="3"/>
        <v>1</v>
      </c>
    </row>
    <row r="23" spans="1:10" x14ac:dyDescent="0.25">
      <c r="B23" s="6"/>
    </row>
    <row r="29" spans="1:10" x14ac:dyDescent="0.25">
      <c r="D29" s="3"/>
    </row>
  </sheetData>
  <mergeCells count="3">
    <mergeCell ref="B1:C1"/>
    <mergeCell ref="D1:E1"/>
    <mergeCell ref="F1:G1"/>
  </mergeCells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477C9-8126-489F-A063-DCE4D38DDDFA}">
  <dimension ref="A1:J29"/>
  <sheetViews>
    <sheetView zoomScale="145" zoomScaleNormal="145" workbookViewId="0">
      <selection activeCell="C17" sqref="C17"/>
    </sheetView>
  </sheetViews>
  <sheetFormatPr defaultRowHeight="15.75" x14ac:dyDescent="0.25"/>
  <cols>
    <col min="1" max="1" width="11.140625" bestFit="1" customWidth="1"/>
    <col min="2" max="2" width="5.7109375" bestFit="1" customWidth="1"/>
    <col min="3" max="3" width="8.5703125" bestFit="1" customWidth="1"/>
    <col min="4" max="4" width="5.7109375" style="4" bestFit="1" customWidth="1"/>
    <col min="5" max="5" width="8.5703125" bestFit="1" customWidth="1"/>
    <col min="6" max="6" width="5.7109375" bestFit="1" customWidth="1"/>
    <col min="7" max="7" width="8.5703125" bestFit="1" customWidth="1"/>
    <col min="9" max="9" width="6.7109375" bestFit="1" customWidth="1"/>
    <col min="10" max="10" width="8.5703125" bestFit="1" customWidth="1"/>
  </cols>
  <sheetData>
    <row r="1" spans="1:10" x14ac:dyDescent="0.25">
      <c r="A1" t="s">
        <v>33</v>
      </c>
      <c r="B1" s="7" t="s">
        <v>39</v>
      </c>
      <c r="C1" s="7"/>
      <c r="D1" s="8" t="s">
        <v>40</v>
      </c>
      <c r="E1" s="8"/>
      <c r="F1" s="7" t="s">
        <v>41</v>
      </c>
      <c r="G1" s="7"/>
      <c r="I1" t="s">
        <v>2</v>
      </c>
    </row>
    <row r="2" spans="1:10" x14ac:dyDescent="0.25">
      <c r="A2" s="2">
        <v>45444</v>
      </c>
      <c r="B2">
        <v>3945</v>
      </c>
      <c r="C2" s="1">
        <f>B2/I2</f>
        <v>0.48016066212268743</v>
      </c>
      <c r="D2" s="3">
        <v>3056</v>
      </c>
      <c r="E2" s="1">
        <f>D2/I2</f>
        <v>0.37195715676728336</v>
      </c>
      <c r="F2">
        <v>1215</v>
      </c>
      <c r="G2" s="1">
        <f>F2/I2</f>
        <v>0.14788218111002921</v>
      </c>
      <c r="I2">
        <f>B2+D2+F2</f>
        <v>8216</v>
      </c>
      <c r="J2" s="1">
        <f>C2+E2+G2</f>
        <v>1</v>
      </c>
    </row>
    <row r="3" spans="1:10" x14ac:dyDescent="0.25">
      <c r="A3" s="2">
        <v>45474</v>
      </c>
      <c r="B3">
        <v>3941</v>
      </c>
      <c r="C3" s="1">
        <f>B3/I3</f>
        <v>0.47920719844357978</v>
      </c>
      <c r="D3" s="3">
        <v>3124</v>
      </c>
      <c r="E3" s="1">
        <f>D3/I3</f>
        <v>0.37986381322957197</v>
      </c>
      <c r="F3" s="3">
        <v>1159</v>
      </c>
      <c r="G3" s="1">
        <f>F3/I3</f>
        <v>0.14092898832684825</v>
      </c>
      <c r="I3">
        <f>B3+D3+F3</f>
        <v>8224</v>
      </c>
      <c r="J3" s="1">
        <f>C3+E3+G3</f>
        <v>1</v>
      </c>
    </row>
    <row r="4" spans="1:10" x14ac:dyDescent="0.25">
      <c r="A4" s="2">
        <v>45505</v>
      </c>
      <c r="B4">
        <v>4728</v>
      </c>
      <c r="C4" s="1">
        <f t="shared" ref="C4:C20" si="0">B4/I4</f>
        <v>0.50926324859974148</v>
      </c>
      <c r="D4" s="3">
        <v>3377</v>
      </c>
      <c r="E4" s="1">
        <f t="shared" ref="E4:E20" si="1">D4/I4</f>
        <v>0.36374407582938389</v>
      </c>
      <c r="F4">
        <v>1179</v>
      </c>
      <c r="G4" s="1">
        <f t="shared" ref="G4:G20" si="2">F4/I4</f>
        <v>0.12699267557087462</v>
      </c>
      <c r="I4">
        <f t="shared" ref="I4:J20" si="3">B4+D4+F4</f>
        <v>9284</v>
      </c>
      <c r="J4" s="1">
        <f t="shared" si="3"/>
        <v>1</v>
      </c>
    </row>
    <row r="5" spans="1:10" x14ac:dyDescent="0.25">
      <c r="A5" s="2">
        <v>45536</v>
      </c>
      <c r="B5">
        <v>1289</v>
      </c>
      <c r="C5" s="1">
        <f t="shared" si="0"/>
        <v>0.14410285075461152</v>
      </c>
      <c r="D5" s="3">
        <v>5470</v>
      </c>
      <c r="E5" s="1">
        <f t="shared" si="1"/>
        <v>0.61151481274455</v>
      </c>
      <c r="F5">
        <v>2186</v>
      </c>
      <c r="G5" s="1">
        <f t="shared" si="2"/>
        <v>0.24438233650083846</v>
      </c>
      <c r="I5">
        <f t="shared" si="3"/>
        <v>8945</v>
      </c>
      <c r="J5" s="1">
        <f t="shared" si="3"/>
        <v>1</v>
      </c>
    </row>
    <row r="6" spans="1:10" x14ac:dyDescent="0.25">
      <c r="A6" s="2">
        <v>45566</v>
      </c>
      <c r="B6">
        <v>4310</v>
      </c>
      <c r="C6" s="1">
        <f t="shared" si="0"/>
        <v>0.47155361050328226</v>
      </c>
      <c r="D6" s="3">
        <v>3611</v>
      </c>
      <c r="E6" s="1">
        <f t="shared" si="1"/>
        <v>0.39507658643326038</v>
      </c>
      <c r="F6">
        <v>1219</v>
      </c>
      <c r="G6" s="1">
        <f t="shared" si="2"/>
        <v>0.13336980306345733</v>
      </c>
      <c r="I6">
        <f t="shared" si="3"/>
        <v>9140</v>
      </c>
      <c r="J6" s="1">
        <f t="shared" si="3"/>
        <v>1</v>
      </c>
    </row>
    <row r="7" spans="1:10" x14ac:dyDescent="0.25">
      <c r="A7" s="2">
        <v>45597</v>
      </c>
      <c r="B7">
        <v>1412</v>
      </c>
      <c r="C7" s="1">
        <f t="shared" si="0"/>
        <v>0.1226013718850395</v>
      </c>
      <c r="D7" s="3">
        <v>7440</v>
      </c>
      <c r="E7" s="1">
        <f t="shared" si="1"/>
        <v>0.64600156290700705</v>
      </c>
      <c r="F7">
        <v>2665</v>
      </c>
      <c r="G7" s="1">
        <f t="shared" si="2"/>
        <v>0.23139706520795347</v>
      </c>
      <c r="I7">
        <f t="shared" si="3"/>
        <v>11517</v>
      </c>
      <c r="J7" s="1">
        <f t="shared" si="3"/>
        <v>1</v>
      </c>
    </row>
    <row r="8" spans="1:10" x14ac:dyDescent="0.25">
      <c r="A8" s="2">
        <v>45627</v>
      </c>
      <c r="B8">
        <v>1373</v>
      </c>
      <c r="C8" s="1">
        <f t="shared" si="0"/>
        <v>0.1346738597351643</v>
      </c>
      <c r="D8" s="3">
        <v>6381</v>
      </c>
      <c r="E8" s="1">
        <f t="shared" si="1"/>
        <v>0.62589504659146644</v>
      </c>
      <c r="F8">
        <v>2441</v>
      </c>
      <c r="G8" s="1">
        <f t="shared" si="2"/>
        <v>0.23943109367336929</v>
      </c>
      <c r="I8">
        <f t="shared" si="3"/>
        <v>10195</v>
      </c>
      <c r="J8" s="1">
        <f t="shared" si="3"/>
        <v>1</v>
      </c>
    </row>
    <row r="9" spans="1:10" x14ac:dyDescent="0.25">
      <c r="A9" s="2">
        <v>45658</v>
      </c>
      <c r="B9">
        <v>4986</v>
      </c>
      <c r="C9" s="1">
        <f t="shared" si="0"/>
        <v>0.53705299439896592</v>
      </c>
      <c r="D9" s="3">
        <v>3164</v>
      </c>
      <c r="E9" s="1">
        <f t="shared" si="1"/>
        <v>0.34080137871607064</v>
      </c>
      <c r="F9">
        <v>1134</v>
      </c>
      <c r="G9" s="1">
        <f t="shared" si="2"/>
        <v>0.12214562688496337</v>
      </c>
      <c r="I9">
        <f t="shared" si="3"/>
        <v>9284</v>
      </c>
      <c r="J9" s="1">
        <f t="shared" si="3"/>
        <v>0.99999999999999989</v>
      </c>
    </row>
    <row r="10" spans="1:10" x14ac:dyDescent="0.25">
      <c r="A10" s="2">
        <v>45689</v>
      </c>
      <c r="B10">
        <v>4456</v>
      </c>
      <c r="C10" s="1">
        <f t="shared" si="0"/>
        <v>0.53403643336529238</v>
      </c>
      <c r="D10" s="3">
        <v>2726</v>
      </c>
      <c r="E10" s="1">
        <f t="shared" si="1"/>
        <v>0.32670182166826461</v>
      </c>
      <c r="F10">
        <v>1162</v>
      </c>
      <c r="G10" s="1">
        <f t="shared" si="2"/>
        <v>0.13926174496644295</v>
      </c>
      <c r="I10">
        <f t="shared" si="3"/>
        <v>8344</v>
      </c>
      <c r="J10" s="1">
        <f t="shared" si="3"/>
        <v>0.99999999999999989</v>
      </c>
    </row>
    <row r="11" spans="1:10" x14ac:dyDescent="0.25">
      <c r="A11" s="2">
        <v>45717</v>
      </c>
      <c r="B11">
        <v>4467</v>
      </c>
      <c r="C11" s="1">
        <f t="shared" si="0"/>
        <v>0.4920687376074025</v>
      </c>
      <c r="D11" s="3">
        <v>3226</v>
      </c>
      <c r="E11" s="1">
        <f t="shared" si="1"/>
        <v>0.35536461775721523</v>
      </c>
      <c r="F11">
        <v>1385</v>
      </c>
      <c r="G11" s="1">
        <f t="shared" si="2"/>
        <v>0.15256664463538225</v>
      </c>
      <c r="I11">
        <f t="shared" si="3"/>
        <v>9078</v>
      </c>
      <c r="J11" s="1">
        <f t="shared" si="3"/>
        <v>1</v>
      </c>
    </row>
    <row r="12" spans="1:10" x14ac:dyDescent="0.25">
      <c r="A12" s="2">
        <v>45748</v>
      </c>
      <c r="B12">
        <v>4508</v>
      </c>
      <c r="C12" s="1">
        <f t="shared" si="0"/>
        <v>0.45627530364372471</v>
      </c>
      <c r="D12" s="3">
        <v>3954</v>
      </c>
      <c r="E12" s="1">
        <f t="shared" si="1"/>
        <v>0.40020242914979759</v>
      </c>
      <c r="F12">
        <v>1418</v>
      </c>
      <c r="G12" s="1">
        <f t="shared" si="2"/>
        <v>0.14352226720647773</v>
      </c>
      <c r="I12">
        <f t="shared" si="3"/>
        <v>9880</v>
      </c>
      <c r="J12" s="1">
        <f t="shared" si="3"/>
        <v>1</v>
      </c>
    </row>
    <row r="13" spans="1:10" x14ac:dyDescent="0.25">
      <c r="A13" s="2">
        <v>45778</v>
      </c>
      <c r="B13">
        <v>4758</v>
      </c>
      <c r="C13" s="1">
        <f t="shared" si="0"/>
        <v>0.51717391304347826</v>
      </c>
      <c r="D13" s="3">
        <v>3117</v>
      </c>
      <c r="E13" s="1">
        <f t="shared" si="1"/>
        <v>0.33880434782608698</v>
      </c>
      <c r="F13">
        <v>1325</v>
      </c>
      <c r="G13" s="1">
        <f t="shared" si="2"/>
        <v>0.14402173913043478</v>
      </c>
      <c r="I13">
        <f t="shared" si="3"/>
        <v>9200</v>
      </c>
      <c r="J13" s="1">
        <f t="shared" si="3"/>
        <v>1</v>
      </c>
    </row>
    <row r="14" spans="1:10" x14ac:dyDescent="0.25">
      <c r="A14" s="2">
        <v>45809</v>
      </c>
      <c r="B14">
        <v>4466</v>
      </c>
      <c r="C14" s="1">
        <f t="shared" si="0"/>
        <v>0.50338142470694314</v>
      </c>
      <c r="D14" s="3">
        <v>3166</v>
      </c>
      <c r="E14" s="1">
        <f t="shared" si="1"/>
        <v>0.35685302073940489</v>
      </c>
      <c r="F14">
        <v>1240</v>
      </c>
      <c r="G14" s="1">
        <f t="shared" si="2"/>
        <v>0.13976555455365194</v>
      </c>
      <c r="I14">
        <f t="shared" si="3"/>
        <v>8872</v>
      </c>
      <c r="J14" s="1">
        <f t="shared" si="3"/>
        <v>0.99999999999999989</v>
      </c>
    </row>
    <row r="15" spans="1:10" x14ac:dyDescent="0.25">
      <c r="A15" s="2">
        <v>45839</v>
      </c>
      <c r="B15">
        <v>4805</v>
      </c>
      <c r="C15" s="1">
        <f t="shared" si="0"/>
        <v>0.51302583813794578</v>
      </c>
      <c r="D15" s="3">
        <v>3412</v>
      </c>
      <c r="E15" s="1">
        <f t="shared" si="1"/>
        <v>0.36429639120222079</v>
      </c>
      <c r="F15">
        <v>1149</v>
      </c>
      <c r="G15" s="1">
        <f t="shared" si="2"/>
        <v>0.12267777065983344</v>
      </c>
      <c r="I15">
        <f t="shared" si="3"/>
        <v>9366</v>
      </c>
      <c r="J15" s="1">
        <f t="shared" si="3"/>
        <v>1</v>
      </c>
    </row>
    <row r="16" spans="1:10" x14ac:dyDescent="0.25">
      <c r="A16" s="2">
        <v>45870</v>
      </c>
      <c r="B16">
        <v>5181</v>
      </c>
      <c r="C16" s="1">
        <f t="shared" si="0"/>
        <v>0.50374331550802143</v>
      </c>
      <c r="D16" s="3">
        <v>3944</v>
      </c>
      <c r="E16" s="1">
        <f t="shared" si="1"/>
        <v>0.38347107438016531</v>
      </c>
      <c r="F16">
        <v>1160</v>
      </c>
      <c r="G16" s="1">
        <f t="shared" si="2"/>
        <v>0.11278561011181332</v>
      </c>
      <c r="I16">
        <f t="shared" si="3"/>
        <v>10285</v>
      </c>
      <c r="J16" s="1">
        <f t="shared" si="3"/>
        <v>1</v>
      </c>
    </row>
    <row r="17" spans="1:10" x14ac:dyDescent="0.25">
      <c r="A17" s="2">
        <v>45901</v>
      </c>
      <c r="B17">
        <v>4193</v>
      </c>
      <c r="C17" s="1">
        <f t="shared" si="0"/>
        <v>0.47821624087591241</v>
      </c>
      <c r="D17" s="3">
        <v>3240</v>
      </c>
      <c r="E17" s="1">
        <f t="shared" si="1"/>
        <v>0.36952554744525545</v>
      </c>
      <c r="F17">
        <v>1335</v>
      </c>
      <c r="G17" s="1">
        <f t="shared" si="2"/>
        <v>0.15225821167883211</v>
      </c>
      <c r="I17">
        <f t="shared" si="3"/>
        <v>8768</v>
      </c>
      <c r="J17" s="1">
        <f t="shared" si="3"/>
        <v>1</v>
      </c>
    </row>
    <row r="18" spans="1:10" x14ac:dyDescent="0.25">
      <c r="A18" s="2">
        <v>45931</v>
      </c>
      <c r="B18">
        <v>4828</v>
      </c>
      <c r="C18" s="1">
        <f t="shared" si="0"/>
        <v>0.5100898045430533</v>
      </c>
      <c r="D18" s="3">
        <v>3302</v>
      </c>
      <c r="E18" s="1">
        <f t="shared" si="1"/>
        <v>0.34886423666138405</v>
      </c>
      <c r="F18">
        <v>1335</v>
      </c>
      <c r="G18" s="1">
        <f t="shared" si="2"/>
        <v>0.14104595879556259</v>
      </c>
      <c r="I18">
        <f t="shared" si="3"/>
        <v>9465</v>
      </c>
      <c r="J18" s="1">
        <f t="shared" si="3"/>
        <v>1</v>
      </c>
    </row>
    <row r="19" spans="1:10" x14ac:dyDescent="0.25">
      <c r="A19" s="2">
        <v>45962</v>
      </c>
      <c r="B19">
        <v>3679</v>
      </c>
      <c r="C19" s="1">
        <f t="shared" si="0"/>
        <v>0.48844928305894847</v>
      </c>
      <c r="D19" s="3">
        <v>2690</v>
      </c>
      <c r="E19" s="1">
        <f t="shared" si="1"/>
        <v>0.35714285714285715</v>
      </c>
      <c r="F19">
        <v>1163</v>
      </c>
      <c r="G19" s="1">
        <f t="shared" si="2"/>
        <v>0.15440785979819438</v>
      </c>
      <c r="I19">
        <f t="shared" si="3"/>
        <v>7532</v>
      </c>
      <c r="J19" s="1">
        <f t="shared" si="3"/>
        <v>1</v>
      </c>
    </row>
    <row r="20" spans="1:10" x14ac:dyDescent="0.25">
      <c r="A20" s="2">
        <v>45992</v>
      </c>
      <c r="B20">
        <v>4412</v>
      </c>
      <c r="C20" s="1">
        <f t="shared" si="0"/>
        <v>0.49104062326099052</v>
      </c>
      <c r="D20" s="3">
        <v>3229</v>
      </c>
      <c r="E20" s="1">
        <f t="shared" si="1"/>
        <v>0.35937673900946021</v>
      </c>
      <c r="F20">
        <v>1344</v>
      </c>
      <c r="G20" s="1">
        <f t="shared" si="2"/>
        <v>0.14958263772954924</v>
      </c>
      <c r="I20">
        <f t="shared" si="3"/>
        <v>8985</v>
      </c>
      <c r="J20" s="1">
        <f t="shared" si="3"/>
        <v>1</v>
      </c>
    </row>
    <row r="23" spans="1:10" x14ac:dyDescent="0.25">
      <c r="B23" s="6"/>
    </row>
    <row r="29" spans="1:10" x14ac:dyDescent="0.25">
      <c r="D29" s="3"/>
    </row>
  </sheetData>
  <mergeCells count="3">
    <mergeCell ref="B1:C1"/>
    <mergeCell ref="D1:E1"/>
    <mergeCell ref="F1:G1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21A3-13A0-4E5C-A115-E5C521745EFB}">
  <dimension ref="A1:J29"/>
  <sheetViews>
    <sheetView zoomScale="145" zoomScaleNormal="145" workbookViewId="0">
      <selection activeCell="G24" sqref="G24"/>
    </sheetView>
  </sheetViews>
  <sheetFormatPr defaultRowHeight="15.75" x14ac:dyDescent="0.25"/>
  <cols>
    <col min="1" max="1" width="11.140625" bestFit="1" customWidth="1"/>
    <col min="2" max="2" width="5.7109375" bestFit="1" customWidth="1"/>
    <col min="3" max="3" width="8.5703125" bestFit="1" customWidth="1"/>
    <col min="4" max="4" width="5.7109375" style="4" bestFit="1" customWidth="1"/>
    <col min="5" max="5" width="8.5703125" bestFit="1" customWidth="1"/>
    <col min="6" max="6" width="5.7109375" bestFit="1" customWidth="1"/>
    <col min="7" max="7" width="8.5703125" bestFit="1" customWidth="1"/>
    <col min="9" max="9" width="6.7109375" bestFit="1" customWidth="1"/>
    <col min="10" max="10" width="8.5703125" bestFit="1" customWidth="1"/>
  </cols>
  <sheetData>
    <row r="1" spans="1:10" x14ac:dyDescent="0.25">
      <c r="A1" t="s">
        <v>33</v>
      </c>
      <c r="B1" s="7" t="s">
        <v>39</v>
      </c>
      <c r="C1" s="7"/>
      <c r="D1" s="8" t="s">
        <v>40</v>
      </c>
      <c r="E1" s="8"/>
      <c r="F1" s="7" t="s">
        <v>41</v>
      </c>
      <c r="G1" s="7"/>
      <c r="I1" t="s">
        <v>2</v>
      </c>
    </row>
    <row r="2" spans="1:10" x14ac:dyDescent="0.25">
      <c r="A2" s="2">
        <v>45444</v>
      </c>
      <c r="B2">
        <v>152</v>
      </c>
      <c r="C2" s="1">
        <f>B2/I2</f>
        <v>0.24796084828711257</v>
      </c>
      <c r="D2" s="3">
        <v>194</v>
      </c>
      <c r="E2" s="1">
        <f>D2/I2</f>
        <v>0.31647634584013051</v>
      </c>
      <c r="F2">
        <v>267</v>
      </c>
      <c r="G2" s="1">
        <f>F2/I2</f>
        <v>0.43556280587275692</v>
      </c>
      <c r="I2">
        <f>B2+D2+F2</f>
        <v>613</v>
      </c>
      <c r="J2" s="1">
        <f>C2+E2+G2</f>
        <v>1</v>
      </c>
    </row>
    <row r="3" spans="1:10" x14ac:dyDescent="0.25">
      <c r="A3" s="2">
        <v>45474</v>
      </c>
      <c r="B3">
        <v>145</v>
      </c>
      <c r="C3" s="1">
        <f>B3/I3</f>
        <v>0.28265107212475632</v>
      </c>
      <c r="D3" s="3">
        <v>154</v>
      </c>
      <c r="E3" s="1">
        <f>D3/I3</f>
        <v>0.30019493177387913</v>
      </c>
      <c r="F3" s="3">
        <v>214</v>
      </c>
      <c r="G3" s="1">
        <f>F3/I3</f>
        <v>0.4171539961013645</v>
      </c>
      <c r="I3">
        <f>B3+D3+F3</f>
        <v>513</v>
      </c>
      <c r="J3" s="1">
        <f>C3+E3+G3</f>
        <v>0.99999999999999989</v>
      </c>
    </row>
    <row r="4" spans="1:10" x14ac:dyDescent="0.25">
      <c r="A4" s="2">
        <v>45505</v>
      </c>
      <c r="B4">
        <v>187</v>
      </c>
      <c r="C4" s="1">
        <f t="shared" ref="C4:C20" si="0">B4/I4</f>
        <v>0.31270903010033446</v>
      </c>
      <c r="D4" s="3">
        <v>207</v>
      </c>
      <c r="E4" s="1">
        <f t="shared" ref="E4:E20" si="1">D4/I4</f>
        <v>0.34615384615384615</v>
      </c>
      <c r="F4">
        <v>204</v>
      </c>
      <c r="G4" s="1">
        <f>F4/I4</f>
        <v>0.34113712374581939</v>
      </c>
      <c r="I4">
        <f>B4+D4+F4</f>
        <v>598</v>
      </c>
      <c r="J4" s="1">
        <f t="shared" ref="I4:J20" si="2">C4+E4+G4</f>
        <v>1</v>
      </c>
    </row>
    <row r="5" spans="1:10" x14ac:dyDescent="0.25">
      <c r="A5" s="2">
        <v>45536</v>
      </c>
      <c r="B5">
        <v>164</v>
      </c>
      <c r="C5" s="1">
        <f t="shared" si="0"/>
        <v>0.23462088698140202</v>
      </c>
      <c r="D5" s="3">
        <v>181</v>
      </c>
      <c r="E5" s="1">
        <f t="shared" si="1"/>
        <v>0.25894134477825465</v>
      </c>
      <c r="F5">
        <v>354</v>
      </c>
      <c r="G5" s="1">
        <f>F5/I5</f>
        <v>0.50643776824034337</v>
      </c>
      <c r="I5">
        <f>B5+D5+F5</f>
        <v>699</v>
      </c>
      <c r="J5" s="1">
        <f t="shared" si="2"/>
        <v>1</v>
      </c>
    </row>
    <row r="6" spans="1:10" x14ac:dyDescent="0.25">
      <c r="A6" s="2">
        <v>45566</v>
      </c>
      <c r="B6">
        <v>186</v>
      </c>
      <c r="C6" s="1">
        <f t="shared" si="0"/>
        <v>0.27761194029850744</v>
      </c>
      <c r="D6" s="3">
        <v>193</v>
      </c>
      <c r="E6" s="1">
        <f t="shared" si="1"/>
        <v>0.28805970149253729</v>
      </c>
      <c r="F6">
        <v>291</v>
      </c>
      <c r="G6" s="1">
        <f>F6/I6</f>
        <v>0.43432835820895521</v>
      </c>
      <c r="I6">
        <f>B6+D6+F6</f>
        <v>670</v>
      </c>
      <c r="J6" s="1">
        <f t="shared" si="2"/>
        <v>1</v>
      </c>
    </row>
    <row r="7" spans="1:10" x14ac:dyDescent="0.25">
      <c r="A7" s="2">
        <v>45597</v>
      </c>
      <c r="B7">
        <v>183</v>
      </c>
      <c r="C7" s="1">
        <f t="shared" si="0"/>
        <v>0.25811001410437234</v>
      </c>
      <c r="D7" s="3">
        <v>173</v>
      </c>
      <c r="E7" s="1">
        <f t="shared" si="1"/>
        <v>0.24400564174894218</v>
      </c>
      <c r="F7">
        <v>353</v>
      </c>
      <c r="G7" s="1">
        <f t="shared" ref="G7:G20" si="3">F7/I7</f>
        <v>0.49788434414668548</v>
      </c>
      <c r="I7">
        <f t="shared" si="2"/>
        <v>709</v>
      </c>
      <c r="J7" s="1">
        <f t="shared" si="2"/>
        <v>1</v>
      </c>
    </row>
    <row r="8" spans="1:10" x14ac:dyDescent="0.25">
      <c r="A8" s="2">
        <v>45627</v>
      </c>
      <c r="B8">
        <v>160</v>
      </c>
      <c r="C8" s="1">
        <f t="shared" si="0"/>
        <v>0.22598870056497175</v>
      </c>
      <c r="D8" s="3">
        <v>184</v>
      </c>
      <c r="E8" s="1">
        <f t="shared" si="1"/>
        <v>0.25988700564971751</v>
      </c>
      <c r="F8">
        <v>364</v>
      </c>
      <c r="G8" s="1">
        <f t="shared" si="3"/>
        <v>0.51412429378531077</v>
      </c>
      <c r="I8">
        <f t="shared" si="2"/>
        <v>708</v>
      </c>
      <c r="J8" s="1">
        <f t="shared" si="2"/>
        <v>1</v>
      </c>
    </row>
    <row r="9" spans="1:10" x14ac:dyDescent="0.25">
      <c r="A9" s="2">
        <v>45658</v>
      </c>
      <c r="B9">
        <v>199</v>
      </c>
      <c r="C9" s="1">
        <f t="shared" si="0"/>
        <v>0.29657228017883758</v>
      </c>
      <c r="D9" s="3">
        <v>224</v>
      </c>
      <c r="E9" s="1">
        <f t="shared" si="1"/>
        <v>0.33383010432190763</v>
      </c>
      <c r="F9">
        <v>248</v>
      </c>
      <c r="G9" s="1">
        <f t="shared" si="3"/>
        <v>0.36959761549925485</v>
      </c>
      <c r="I9">
        <f t="shared" si="2"/>
        <v>671</v>
      </c>
      <c r="J9" s="1">
        <f t="shared" si="2"/>
        <v>1</v>
      </c>
    </row>
    <row r="10" spans="1:10" x14ac:dyDescent="0.25">
      <c r="A10" s="2">
        <v>45689</v>
      </c>
      <c r="B10">
        <v>198</v>
      </c>
      <c r="C10" s="1">
        <f t="shared" si="0"/>
        <v>0.29508196721311475</v>
      </c>
      <c r="D10" s="3">
        <v>195</v>
      </c>
      <c r="E10" s="1">
        <f t="shared" si="1"/>
        <v>0.29061102831594637</v>
      </c>
      <c r="F10">
        <v>278</v>
      </c>
      <c r="G10" s="1">
        <f t="shared" si="3"/>
        <v>0.41430700447093888</v>
      </c>
      <c r="I10">
        <f t="shared" si="2"/>
        <v>671</v>
      </c>
      <c r="J10" s="1">
        <f t="shared" si="2"/>
        <v>1</v>
      </c>
    </row>
    <row r="11" spans="1:10" x14ac:dyDescent="0.25">
      <c r="A11" s="2">
        <v>45717</v>
      </c>
      <c r="B11">
        <v>189</v>
      </c>
      <c r="C11" s="1">
        <f t="shared" si="0"/>
        <v>0.26359832635983266</v>
      </c>
      <c r="D11" s="3">
        <v>207</v>
      </c>
      <c r="E11" s="1">
        <f t="shared" si="1"/>
        <v>0.28870292887029286</v>
      </c>
      <c r="F11">
        <v>321</v>
      </c>
      <c r="G11" s="1">
        <f t="shared" si="3"/>
        <v>0.44769874476987448</v>
      </c>
      <c r="I11">
        <f t="shared" si="2"/>
        <v>717</v>
      </c>
      <c r="J11" s="1">
        <f t="shared" si="2"/>
        <v>1</v>
      </c>
    </row>
    <row r="12" spans="1:10" x14ac:dyDescent="0.25">
      <c r="A12" s="2">
        <v>45748</v>
      </c>
      <c r="B12">
        <v>119</v>
      </c>
      <c r="C12" s="1">
        <f t="shared" si="0"/>
        <v>0.16368638239339753</v>
      </c>
      <c r="D12" s="3">
        <v>272</v>
      </c>
      <c r="E12" s="1">
        <f t="shared" si="1"/>
        <v>0.37414030261348008</v>
      </c>
      <c r="F12">
        <v>336</v>
      </c>
      <c r="G12" s="1">
        <f t="shared" si="3"/>
        <v>0.46217331499312242</v>
      </c>
      <c r="I12">
        <f t="shared" si="2"/>
        <v>727</v>
      </c>
      <c r="J12" s="1">
        <f t="shared" si="2"/>
        <v>1</v>
      </c>
    </row>
    <row r="13" spans="1:10" x14ac:dyDescent="0.25">
      <c r="A13" s="2">
        <v>45778</v>
      </c>
      <c r="B13">
        <v>188</v>
      </c>
      <c r="C13" s="1">
        <f t="shared" si="0"/>
        <v>0.26038781163434904</v>
      </c>
      <c r="D13" s="3">
        <v>212</v>
      </c>
      <c r="E13" s="1">
        <f t="shared" si="1"/>
        <v>0.29362880886426596</v>
      </c>
      <c r="F13">
        <v>322</v>
      </c>
      <c r="G13" s="1">
        <f t="shared" si="3"/>
        <v>0.44598337950138506</v>
      </c>
      <c r="I13">
        <f t="shared" si="2"/>
        <v>722</v>
      </c>
      <c r="J13" s="1">
        <f t="shared" si="2"/>
        <v>1</v>
      </c>
    </row>
    <row r="14" spans="1:10" x14ac:dyDescent="0.25">
      <c r="A14" s="2">
        <v>45809</v>
      </c>
      <c r="B14">
        <v>216</v>
      </c>
      <c r="C14" s="1">
        <f t="shared" si="0"/>
        <v>0.29268292682926828</v>
      </c>
      <c r="D14" s="3">
        <v>250</v>
      </c>
      <c r="E14" s="1">
        <f t="shared" si="1"/>
        <v>0.33875338753387535</v>
      </c>
      <c r="F14">
        <v>272</v>
      </c>
      <c r="G14" s="1">
        <f t="shared" si="3"/>
        <v>0.36856368563685638</v>
      </c>
      <c r="I14">
        <f t="shared" si="2"/>
        <v>738</v>
      </c>
      <c r="J14" s="1">
        <f t="shared" si="2"/>
        <v>1</v>
      </c>
    </row>
    <row r="15" spans="1:10" x14ac:dyDescent="0.25">
      <c r="A15" s="2">
        <v>45839</v>
      </c>
      <c r="B15">
        <v>189</v>
      </c>
      <c r="C15" s="1">
        <f t="shared" si="0"/>
        <v>0.28083209509658247</v>
      </c>
      <c r="D15" s="3">
        <v>226</v>
      </c>
      <c r="E15" s="1">
        <f>D15/I15</f>
        <v>0.33580980683506684</v>
      </c>
      <c r="F15">
        <v>258</v>
      </c>
      <c r="G15" s="1">
        <f t="shared" si="3"/>
        <v>0.38335809806835069</v>
      </c>
      <c r="I15">
        <f>B15+D15+F15</f>
        <v>673</v>
      </c>
      <c r="J15" s="1">
        <f t="shared" si="2"/>
        <v>1</v>
      </c>
    </row>
    <row r="16" spans="1:10" x14ac:dyDescent="0.25">
      <c r="A16" s="2">
        <v>45870</v>
      </c>
      <c r="B16">
        <v>248</v>
      </c>
      <c r="C16" s="1">
        <f t="shared" si="0"/>
        <v>0.35683453237410073</v>
      </c>
      <c r="D16" s="3">
        <v>224</v>
      </c>
      <c r="E16" s="1">
        <f>D16/I16</f>
        <v>0.32230215827338127</v>
      </c>
      <c r="F16">
        <v>223</v>
      </c>
      <c r="G16" s="1">
        <f t="shared" si="3"/>
        <v>0.320863309352518</v>
      </c>
      <c r="I16">
        <f>B16+D16+F16</f>
        <v>695</v>
      </c>
      <c r="J16" s="1">
        <f t="shared" si="2"/>
        <v>1</v>
      </c>
    </row>
    <row r="17" spans="1:10" x14ac:dyDescent="0.25">
      <c r="A17" s="2">
        <v>45901</v>
      </c>
      <c r="B17">
        <v>185</v>
      </c>
      <c r="C17" s="1">
        <f t="shared" si="0"/>
        <v>0.24601063829787234</v>
      </c>
      <c r="D17" s="3">
        <v>219</v>
      </c>
      <c r="E17" s="1">
        <f>D17/I17</f>
        <v>0.29122340425531917</v>
      </c>
      <c r="F17">
        <v>348</v>
      </c>
      <c r="G17" s="1">
        <f t="shared" si="3"/>
        <v>0.46276595744680848</v>
      </c>
      <c r="I17">
        <f>B17+D17+F17</f>
        <v>752</v>
      </c>
      <c r="J17" s="1">
        <f t="shared" si="2"/>
        <v>1</v>
      </c>
    </row>
    <row r="18" spans="1:10" x14ac:dyDescent="0.25">
      <c r="A18" s="2">
        <v>45931</v>
      </c>
      <c r="B18">
        <v>236</v>
      </c>
      <c r="C18" s="1">
        <f t="shared" si="0"/>
        <v>0.29499999999999998</v>
      </c>
      <c r="D18" s="3">
        <v>237</v>
      </c>
      <c r="E18" s="1">
        <f>D18/I18</f>
        <v>0.29625000000000001</v>
      </c>
      <c r="F18">
        <v>327</v>
      </c>
      <c r="G18" s="1">
        <f t="shared" si="3"/>
        <v>0.40875</v>
      </c>
      <c r="I18">
        <f>B18+D18+F18</f>
        <v>800</v>
      </c>
      <c r="J18" s="1">
        <f t="shared" si="2"/>
        <v>1</v>
      </c>
    </row>
    <row r="19" spans="1:10" x14ac:dyDescent="0.25">
      <c r="A19" s="2">
        <v>45962</v>
      </c>
      <c r="B19">
        <v>172</v>
      </c>
      <c r="C19" s="1">
        <f t="shared" si="0"/>
        <v>0.25481481481481483</v>
      </c>
      <c r="D19" s="3">
        <v>174</v>
      </c>
      <c r="E19" s="1">
        <f t="shared" si="1"/>
        <v>0.25777777777777777</v>
      </c>
      <c r="F19">
        <v>329</v>
      </c>
      <c r="G19" s="1">
        <f t="shared" si="3"/>
        <v>0.4874074074074074</v>
      </c>
      <c r="I19">
        <f t="shared" si="2"/>
        <v>675</v>
      </c>
      <c r="J19" s="1">
        <f t="shared" si="2"/>
        <v>1</v>
      </c>
    </row>
    <row r="20" spans="1:10" x14ac:dyDescent="0.25">
      <c r="A20" s="2">
        <v>45992</v>
      </c>
      <c r="B20">
        <v>267</v>
      </c>
      <c r="C20" s="1">
        <f t="shared" si="0"/>
        <v>0.31191588785046731</v>
      </c>
      <c r="D20" s="3">
        <v>240</v>
      </c>
      <c r="E20" s="1">
        <f t="shared" si="1"/>
        <v>0.28037383177570091</v>
      </c>
      <c r="F20">
        <v>349</v>
      </c>
      <c r="G20" s="1">
        <f t="shared" si="3"/>
        <v>0.40771028037383178</v>
      </c>
      <c r="I20">
        <f t="shared" si="2"/>
        <v>856</v>
      </c>
      <c r="J20" s="1">
        <f t="shared" si="2"/>
        <v>1</v>
      </c>
    </row>
    <row r="23" spans="1:10" x14ac:dyDescent="0.25">
      <c r="B23" s="6"/>
    </row>
    <row r="29" spans="1:10" x14ac:dyDescent="0.25">
      <c r="D29" s="3"/>
    </row>
  </sheetData>
  <mergeCells count="3">
    <mergeCell ref="B1:C1"/>
    <mergeCell ref="D1:E1"/>
    <mergeCell ref="F1:G1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B65A-70D2-4D0B-9120-1EE6547ADA6C}">
  <dimension ref="A1:J29"/>
  <sheetViews>
    <sheetView zoomScale="145" zoomScaleNormal="145" workbookViewId="0">
      <selection activeCell="C10" sqref="C10"/>
    </sheetView>
  </sheetViews>
  <sheetFormatPr defaultRowHeight="15.75" x14ac:dyDescent="0.25"/>
  <cols>
    <col min="1" max="1" width="11.140625" bestFit="1" customWidth="1"/>
    <col min="2" max="2" width="5.7109375" bestFit="1" customWidth="1"/>
    <col min="3" max="3" width="8.5703125" bestFit="1" customWidth="1"/>
    <col min="4" max="4" width="5.7109375" style="4" bestFit="1" customWidth="1"/>
    <col min="5" max="5" width="8.5703125" bestFit="1" customWidth="1"/>
    <col min="6" max="6" width="5.7109375" bestFit="1" customWidth="1"/>
    <col min="7" max="7" width="8.5703125" bestFit="1" customWidth="1"/>
    <col min="9" max="9" width="6.7109375" bestFit="1" customWidth="1"/>
    <col min="10" max="10" width="8.5703125" bestFit="1" customWidth="1"/>
  </cols>
  <sheetData>
    <row r="1" spans="1:10" x14ac:dyDescent="0.25">
      <c r="A1" t="s">
        <v>33</v>
      </c>
      <c r="B1" s="7" t="s">
        <v>39</v>
      </c>
      <c r="C1" s="7"/>
      <c r="D1" s="8" t="s">
        <v>40</v>
      </c>
      <c r="E1" s="8"/>
      <c r="F1" s="7" t="s">
        <v>41</v>
      </c>
      <c r="G1" s="7"/>
      <c r="I1" t="s">
        <v>2</v>
      </c>
    </row>
    <row r="2" spans="1:10" x14ac:dyDescent="0.25">
      <c r="A2" s="2">
        <v>45444</v>
      </c>
      <c r="B2">
        <v>5461</v>
      </c>
      <c r="C2" s="1">
        <f>B2/I2</f>
        <v>0.34925812228191355</v>
      </c>
      <c r="D2" s="3">
        <v>6402</v>
      </c>
      <c r="E2" s="1">
        <f>D2/I2</f>
        <v>0.40943975441289332</v>
      </c>
      <c r="F2">
        <v>3773</v>
      </c>
      <c r="G2" s="1">
        <f>F2/I2</f>
        <v>0.24130212330519316</v>
      </c>
      <c r="I2">
        <f>B2+D2+F2</f>
        <v>15636</v>
      </c>
      <c r="J2" s="1">
        <f>C2+E2+G2</f>
        <v>1</v>
      </c>
    </row>
    <row r="3" spans="1:10" x14ac:dyDescent="0.25">
      <c r="A3" s="2">
        <v>45474</v>
      </c>
      <c r="B3">
        <v>5761</v>
      </c>
      <c r="C3" s="1">
        <f>B3/I3</f>
        <v>0.36910558687852385</v>
      </c>
      <c r="D3" s="3">
        <v>6338</v>
      </c>
      <c r="E3" s="1">
        <f>D3/I3</f>
        <v>0.40607380830343415</v>
      </c>
      <c r="F3" s="3">
        <v>3509</v>
      </c>
      <c r="G3" s="1">
        <f>F3/I3</f>
        <v>0.22482060481804203</v>
      </c>
      <c r="I3">
        <f>B3+D3+F3</f>
        <v>15608</v>
      </c>
      <c r="J3" s="1">
        <f>C3+E3+G3</f>
        <v>1</v>
      </c>
    </row>
    <row r="4" spans="1:10" x14ac:dyDescent="0.25">
      <c r="A4" s="2">
        <v>45505</v>
      </c>
      <c r="B4">
        <v>6674</v>
      </c>
      <c r="C4" s="1">
        <f t="shared" ref="C4:C20" si="0">B4/I4</f>
        <v>0.3685256764218664</v>
      </c>
      <c r="D4" s="3">
        <v>6724</v>
      </c>
      <c r="E4" s="1">
        <f t="shared" ref="E4:E20" si="1">D4/I4</f>
        <v>0.37128658199889564</v>
      </c>
      <c r="F4">
        <v>4712</v>
      </c>
      <c r="G4" s="1">
        <f t="shared" ref="G4:G20" si="2">F4/I4</f>
        <v>0.26018774157923796</v>
      </c>
      <c r="I4">
        <f t="shared" ref="I4:J20" si="3">B4+D4+F4</f>
        <v>18110</v>
      </c>
      <c r="J4" s="1">
        <f t="shared" si="3"/>
        <v>1</v>
      </c>
    </row>
    <row r="5" spans="1:10" x14ac:dyDescent="0.25">
      <c r="A5" s="2">
        <v>45536</v>
      </c>
      <c r="B5">
        <v>4588</v>
      </c>
      <c r="C5" s="1">
        <f t="shared" si="0"/>
        <v>0.26572454534924128</v>
      </c>
      <c r="D5" s="3">
        <v>7065</v>
      </c>
      <c r="E5" s="1">
        <f t="shared" si="1"/>
        <v>0.40918568284489748</v>
      </c>
      <c r="F5">
        <v>5613</v>
      </c>
      <c r="G5" s="1">
        <f t="shared" si="2"/>
        <v>0.32508977180586124</v>
      </c>
      <c r="I5">
        <f t="shared" si="3"/>
        <v>17266</v>
      </c>
      <c r="J5" s="1">
        <f t="shared" si="3"/>
        <v>1</v>
      </c>
    </row>
    <row r="6" spans="1:10" x14ac:dyDescent="0.25">
      <c r="A6" s="2">
        <v>45566</v>
      </c>
      <c r="B6">
        <v>5266</v>
      </c>
      <c r="C6" s="1">
        <f t="shared" si="0"/>
        <v>0.3186494009439671</v>
      </c>
      <c r="D6" s="3">
        <v>6689</v>
      </c>
      <c r="E6" s="1">
        <f t="shared" si="1"/>
        <v>0.40475614183710518</v>
      </c>
      <c r="F6">
        <v>4571</v>
      </c>
      <c r="G6" s="1">
        <f t="shared" si="2"/>
        <v>0.27659445721892773</v>
      </c>
      <c r="I6">
        <f t="shared" si="3"/>
        <v>16526</v>
      </c>
      <c r="J6" s="1">
        <f t="shared" si="3"/>
        <v>1</v>
      </c>
    </row>
    <row r="7" spans="1:10" x14ac:dyDescent="0.25">
      <c r="A7" s="2">
        <v>45597</v>
      </c>
      <c r="B7">
        <v>5014</v>
      </c>
      <c r="C7" s="1">
        <f t="shared" si="0"/>
        <v>0.25471170942341886</v>
      </c>
      <c r="D7" s="3">
        <v>9299</v>
      </c>
      <c r="E7" s="1">
        <f t="shared" si="1"/>
        <v>0.47239014478028957</v>
      </c>
      <c r="F7">
        <v>5372</v>
      </c>
      <c r="G7" s="1">
        <f t="shared" si="2"/>
        <v>0.27289814579629157</v>
      </c>
      <c r="I7">
        <f t="shared" si="3"/>
        <v>19685</v>
      </c>
      <c r="J7" s="1">
        <f t="shared" si="3"/>
        <v>1</v>
      </c>
    </row>
    <row r="8" spans="1:10" x14ac:dyDescent="0.25">
      <c r="A8" s="2">
        <v>45627</v>
      </c>
      <c r="B8">
        <v>5057</v>
      </c>
      <c r="C8" s="1">
        <f t="shared" si="0"/>
        <v>0.27320367368989734</v>
      </c>
      <c r="D8" s="3">
        <v>8160</v>
      </c>
      <c r="E8" s="1">
        <f t="shared" si="1"/>
        <v>0.44084278768233387</v>
      </c>
      <c r="F8">
        <v>5293</v>
      </c>
      <c r="G8" s="1">
        <f t="shared" si="2"/>
        <v>0.28595353862776879</v>
      </c>
      <c r="I8">
        <f t="shared" si="3"/>
        <v>18510</v>
      </c>
      <c r="J8" s="1">
        <f t="shared" si="3"/>
        <v>1</v>
      </c>
    </row>
    <row r="9" spans="1:10" x14ac:dyDescent="0.25">
      <c r="A9" s="2">
        <v>45658</v>
      </c>
      <c r="B9">
        <v>6286</v>
      </c>
      <c r="C9" s="1">
        <f t="shared" si="0"/>
        <v>0.37405534067241891</v>
      </c>
      <c r="D9" s="3">
        <v>6645</v>
      </c>
      <c r="E9" s="1">
        <f t="shared" si="1"/>
        <v>0.39541803034811068</v>
      </c>
      <c r="F9">
        <v>3874</v>
      </c>
      <c r="G9" s="1">
        <f t="shared" si="2"/>
        <v>0.2305266289794704</v>
      </c>
      <c r="I9">
        <f t="shared" si="3"/>
        <v>16805</v>
      </c>
      <c r="J9" s="1">
        <f t="shared" si="3"/>
        <v>1</v>
      </c>
    </row>
    <row r="10" spans="1:10" x14ac:dyDescent="0.25">
      <c r="A10" s="2">
        <v>45689</v>
      </c>
      <c r="B10">
        <v>5671</v>
      </c>
      <c r="C10" s="1">
        <f t="shared" si="0"/>
        <v>0.36371216008209339</v>
      </c>
      <c r="D10" s="3">
        <v>6144</v>
      </c>
      <c r="E10" s="1">
        <f t="shared" si="1"/>
        <v>0.39404822986146743</v>
      </c>
      <c r="F10">
        <v>3777</v>
      </c>
      <c r="G10" s="1">
        <f t="shared" si="2"/>
        <v>0.24223961005643921</v>
      </c>
      <c r="I10">
        <f t="shared" si="3"/>
        <v>15592</v>
      </c>
      <c r="J10" s="1">
        <f t="shared" si="3"/>
        <v>1</v>
      </c>
    </row>
    <row r="11" spans="1:10" x14ac:dyDescent="0.25">
      <c r="A11" s="2">
        <v>45717</v>
      </c>
      <c r="B11">
        <v>5445</v>
      </c>
      <c r="C11" s="1">
        <f t="shared" si="0"/>
        <v>0.33170880292415472</v>
      </c>
      <c r="D11" s="3">
        <v>6579</v>
      </c>
      <c r="E11" s="1">
        <f t="shared" si="1"/>
        <v>0.40079195857447458</v>
      </c>
      <c r="F11">
        <v>4391</v>
      </c>
      <c r="G11" s="1">
        <f t="shared" si="2"/>
        <v>0.2674992385013707</v>
      </c>
      <c r="I11">
        <f t="shared" si="3"/>
        <v>16415</v>
      </c>
      <c r="J11" s="1">
        <f t="shared" si="3"/>
        <v>1</v>
      </c>
    </row>
    <row r="12" spans="1:10" x14ac:dyDescent="0.25">
      <c r="A12" s="2">
        <v>45748</v>
      </c>
      <c r="B12">
        <v>3609</v>
      </c>
      <c r="C12" s="1">
        <f t="shared" si="0"/>
        <v>0.20863683662851196</v>
      </c>
      <c r="D12" s="3">
        <v>8135</v>
      </c>
      <c r="E12" s="1">
        <f t="shared" si="1"/>
        <v>0.47028558214822525</v>
      </c>
      <c r="F12">
        <v>5554</v>
      </c>
      <c r="G12" s="1">
        <f t="shared" si="2"/>
        <v>0.3210775812232628</v>
      </c>
      <c r="I12">
        <f t="shared" si="3"/>
        <v>17298</v>
      </c>
      <c r="J12" s="1">
        <f t="shared" si="3"/>
        <v>1</v>
      </c>
    </row>
    <row r="13" spans="1:10" x14ac:dyDescent="0.25">
      <c r="A13" s="2">
        <v>45778</v>
      </c>
      <c r="B13">
        <v>5399</v>
      </c>
      <c r="C13" s="1">
        <f t="shared" si="0"/>
        <v>0.34142793903750079</v>
      </c>
      <c r="D13" s="3">
        <v>6258</v>
      </c>
      <c r="E13" s="1">
        <f t="shared" si="1"/>
        <v>0.39575033200531207</v>
      </c>
      <c r="F13">
        <v>4156</v>
      </c>
      <c r="G13" s="1">
        <f t="shared" si="2"/>
        <v>0.26282172895718714</v>
      </c>
      <c r="I13">
        <f t="shared" si="3"/>
        <v>15813</v>
      </c>
      <c r="J13" s="1">
        <f t="shared" si="3"/>
        <v>1</v>
      </c>
    </row>
    <row r="14" spans="1:10" x14ac:dyDescent="0.25">
      <c r="A14" s="2">
        <v>45809</v>
      </c>
      <c r="B14">
        <v>5534</v>
      </c>
      <c r="C14" s="1">
        <f t="shared" si="0"/>
        <v>0.35003162555344719</v>
      </c>
      <c r="D14" s="3">
        <v>6094</v>
      </c>
      <c r="E14" s="1">
        <f t="shared" si="1"/>
        <v>0.38545224541429474</v>
      </c>
      <c r="F14">
        <v>4182</v>
      </c>
      <c r="G14" s="1">
        <f t="shared" si="2"/>
        <v>0.26451612903225807</v>
      </c>
      <c r="I14">
        <f t="shared" si="3"/>
        <v>15810</v>
      </c>
      <c r="J14" s="1">
        <f t="shared" si="3"/>
        <v>1</v>
      </c>
    </row>
    <row r="15" spans="1:10" x14ac:dyDescent="0.25">
      <c r="A15" s="2">
        <v>45839</v>
      </c>
      <c r="B15">
        <v>5974</v>
      </c>
      <c r="C15" s="1">
        <f t="shared" si="0"/>
        <v>0.38262985973227437</v>
      </c>
      <c r="D15" s="3">
        <v>6319</v>
      </c>
      <c r="E15" s="1">
        <f t="shared" si="1"/>
        <v>0.40472683020559791</v>
      </c>
      <c r="F15">
        <v>3320</v>
      </c>
      <c r="G15" s="1">
        <f t="shared" si="2"/>
        <v>0.21264331006212772</v>
      </c>
      <c r="I15">
        <f t="shared" si="3"/>
        <v>15613</v>
      </c>
      <c r="J15" s="1">
        <f t="shared" si="3"/>
        <v>1</v>
      </c>
    </row>
    <row r="16" spans="1:10" x14ac:dyDescent="0.25">
      <c r="A16" s="2">
        <v>45870</v>
      </c>
      <c r="B16">
        <v>6817</v>
      </c>
      <c r="C16" s="1">
        <f t="shared" si="0"/>
        <v>0.39216475867226602</v>
      </c>
      <c r="D16" s="3">
        <v>7057</v>
      </c>
      <c r="E16" s="1">
        <f t="shared" si="1"/>
        <v>0.40597135132025541</v>
      </c>
      <c r="F16">
        <v>3509</v>
      </c>
      <c r="G16" s="1">
        <f t="shared" si="2"/>
        <v>0.20186389000747856</v>
      </c>
      <c r="I16">
        <f t="shared" si="3"/>
        <v>17383</v>
      </c>
      <c r="J16" s="1">
        <f t="shared" si="3"/>
        <v>1</v>
      </c>
    </row>
    <row r="17" spans="1:10" x14ac:dyDescent="0.25">
      <c r="A17" s="2">
        <v>45901</v>
      </c>
      <c r="B17">
        <v>4777</v>
      </c>
      <c r="C17" s="1">
        <f t="shared" si="0"/>
        <v>0.33141390314971553</v>
      </c>
      <c r="D17" s="3">
        <v>5459</v>
      </c>
      <c r="E17" s="1">
        <f t="shared" si="1"/>
        <v>0.37872901345913695</v>
      </c>
      <c r="F17">
        <v>4178</v>
      </c>
      <c r="G17" s="1">
        <f t="shared" si="2"/>
        <v>0.28985708339114752</v>
      </c>
      <c r="I17">
        <f t="shared" si="3"/>
        <v>14414</v>
      </c>
      <c r="J17" s="1">
        <f t="shared" si="3"/>
        <v>1</v>
      </c>
    </row>
    <row r="18" spans="1:10" x14ac:dyDescent="0.25">
      <c r="A18" s="2">
        <v>45931</v>
      </c>
      <c r="B18">
        <v>5361</v>
      </c>
      <c r="C18" s="1">
        <f t="shared" si="0"/>
        <v>0.32175009002520705</v>
      </c>
      <c r="D18" s="3">
        <v>6694</v>
      </c>
      <c r="E18" s="1">
        <f t="shared" si="1"/>
        <v>0.40175249069739527</v>
      </c>
      <c r="F18">
        <v>4607</v>
      </c>
      <c r="G18" s="1">
        <f t="shared" si="2"/>
        <v>0.27649741927739768</v>
      </c>
      <c r="I18">
        <f t="shared" si="3"/>
        <v>16662</v>
      </c>
      <c r="J18" s="1">
        <f t="shared" si="3"/>
        <v>1</v>
      </c>
    </row>
    <row r="19" spans="1:10" x14ac:dyDescent="0.25">
      <c r="A19" s="2">
        <v>45962</v>
      </c>
      <c r="B19">
        <v>3574</v>
      </c>
      <c r="C19" s="1">
        <f t="shared" si="0"/>
        <v>0.38966419537723507</v>
      </c>
      <c r="D19" s="3">
        <v>3550</v>
      </c>
      <c r="E19" s="1">
        <f t="shared" si="1"/>
        <v>0.38704753597906671</v>
      </c>
      <c r="F19">
        <v>2048</v>
      </c>
      <c r="G19" s="1">
        <f t="shared" si="2"/>
        <v>0.22328826864369822</v>
      </c>
      <c r="I19">
        <f t="shared" si="3"/>
        <v>9172</v>
      </c>
      <c r="J19" s="1">
        <f t="shared" si="3"/>
        <v>1</v>
      </c>
    </row>
    <row r="20" spans="1:10" x14ac:dyDescent="0.25">
      <c r="A20" s="2">
        <v>45992</v>
      </c>
      <c r="B20">
        <v>5882</v>
      </c>
      <c r="C20" s="1">
        <f t="shared" si="0"/>
        <v>0.34295376362894292</v>
      </c>
      <c r="D20" s="3">
        <v>6907</v>
      </c>
      <c r="E20" s="1">
        <f t="shared" si="1"/>
        <v>0.40271704273803277</v>
      </c>
      <c r="F20">
        <v>4362</v>
      </c>
      <c r="G20" s="1">
        <f t="shared" si="2"/>
        <v>0.25432919363302431</v>
      </c>
      <c r="I20">
        <f t="shared" si="3"/>
        <v>17151</v>
      </c>
      <c r="J20" s="1">
        <f t="shared" si="3"/>
        <v>1</v>
      </c>
    </row>
    <row r="23" spans="1:10" x14ac:dyDescent="0.25">
      <c r="B23" s="6"/>
    </row>
    <row r="29" spans="1:10" x14ac:dyDescent="0.25">
      <c r="D29" s="3"/>
    </row>
  </sheetData>
  <mergeCells count="3">
    <mergeCell ref="B1:C1"/>
    <mergeCell ref="D1:E1"/>
    <mergeCell ref="F1:G1"/>
  </mergeCells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A644F-9E58-419B-A4EC-91C136A4B542}">
  <dimension ref="A1:J29"/>
  <sheetViews>
    <sheetView tabSelected="1" zoomScale="145" zoomScaleNormal="145" workbookViewId="0">
      <selection activeCell="C21" sqref="C21"/>
    </sheetView>
  </sheetViews>
  <sheetFormatPr defaultRowHeight="15.75" x14ac:dyDescent="0.25"/>
  <cols>
    <col min="1" max="1" width="11.140625" bestFit="1" customWidth="1"/>
    <col min="2" max="2" width="4.7109375" bestFit="1" customWidth="1"/>
    <col min="3" max="3" width="8.5703125" bestFit="1" customWidth="1"/>
    <col min="4" max="4" width="4.7109375" style="4" bestFit="1" customWidth="1"/>
    <col min="5" max="5" width="8.5703125" bestFit="1" customWidth="1"/>
    <col min="6" max="6" width="5.7109375" bestFit="1" customWidth="1"/>
    <col min="7" max="7" width="8.5703125" bestFit="1" customWidth="1"/>
    <col min="9" max="9" width="6" bestFit="1" customWidth="1"/>
    <col min="10" max="10" width="8.5703125" bestFit="1" customWidth="1"/>
  </cols>
  <sheetData>
    <row r="1" spans="1:10" x14ac:dyDescent="0.25">
      <c r="A1" t="s">
        <v>33</v>
      </c>
      <c r="B1" s="7" t="s">
        <v>39</v>
      </c>
      <c r="C1" s="7"/>
      <c r="D1" s="8" t="s">
        <v>40</v>
      </c>
      <c r="E1" s="8"/>
      <c r="F1" s="7" t="s">
        <v>41</v>
      </c>
      <c r="G1" s="7"/>
      <c r="I1" t="s">
        <v>2</v>
      </c>
    </row>
    <row r="2" spans="1:10" x14ac:dyDescent="0.25">
      <c r="A2" s="2">
        <v>45444</v>
      </c>
      <c r="B2">
        <v>103</v>
      </c>
      <c r="C2" s="1">
        <f>B2/I2</f>
        <v>7.4637681159420294E-2</v>
      </c>
      <c r="D2" s="3">
        <v>335</v>
      </c>
      <c r="E2" s="1">
        <f>D2/I2</f>
        <v>0.24275362318840579</v>
      </c>
      <c r="F2">
        <v>942</v>
      </c>
      <c r="G2" s="1">
        <f>F2/I2</f>
        <v>0.68260869565217386</v>
      </c>
      <c r="I2">
        <f>B2+D2+F2</f>
        <v>1380</v>
      </c>
      <c r="J2" s="1">
        <f>C2+E2+G2</f>
        <v>1</v>
      </c>
    </row>
    <row r="3" spans="1:10" x14ac:dyDescent="0.25">
      <c r="A3" s="2">
        <v>45474</v>
      </c>
      <c r="B3">
        <v>119</v>
      </c>
      <c r="C3" s="1">
        <f>B3/I3</f>
        <v>9.6905537459283389E-2</v>
      </c>
      <c r="D3" s="3">
        <v>383</v>
      </c>
      <c r="E3" s="1">
        <f>D3/I3</f>
        <v>0.31188925081433228</v>
      </c>
      <c r="F3" s="3">
        <v>726</v>
      </c>
      <c r="G3" s="1">
        <f>F3/I3</f>
        <v>0.59120521172638441</v>
      </c>
      <c r="I3">
        <f>B3+D3+F3</f>
        <v>1228</v>
      </c>
      <c r="J3" s="1">
        <f>C3+E3+G3</f>
        <v>1</v>
      </c>
    </row>
    <row r="4" spans="1:10" x14ac:dyDescent="0.25">
      <c r="A4" s="2">
        <v>45505</v>
      </c>
      <c r="B4">
        <v>212</v>
      </c>
      <c r="C4" s="1">
        <f t="shared" ref="C4:C20" si="0">B4/I4</f>
        <v>0.15024805102763997</v>
      </c>
      <c r="D4" s="3">
        <v>436</v>
      </c>
      <c r="E4" s="1">
        <f t="shared" ref="E4:E20" si="1">D4/I4</f>
        <v>0.30900070871722185</v>
      </c>
      <c r="F4">
        <v>763</v>
      </c>
      <c r="G4" s="1">
        <f t="shared" ref="G4:G20" si="2">F4/I4</f>
        <v>0.54075124025513821</v>
      </c>
      <c r="I4">
        <f t="shared" ref="I4:J20" si="3">B4+D4+F4</f>
        <v>1411</v>
      </c>
      <c r="J4" s="1">
        <f t="shared" si="3"/>
        <v>1</v>
      </c>
    </row>
    <row r="5" spans="1:10" x14ac:dyDescent="0.25">
      <c r="A5" s="2">
        <v>45536</v>
      </c>
      <c r="B5">
        <v>123</v>
      </c>
      <c r="C5" s="1">
        <f t="shared" si="0"/>
        <v>6.8676716917922945E-2</v>
      </c>
      <c r="D5" s="3">
        <v>355</v>
      </c>
      <c r="E5" s="1">
        <f t="shared" si="1"/>
        <v>0.19821328866554996</v>
      </c>
      <c r="F5">
        <v>1313</v>
      </c>
      <c r="G5" s="1">
        <f t="shared" si="2"/>
        <v>0.73310999441652713</v>
      </c>
      <c r="I5">
        <f t="shared" si="3"/>
        <v>1791</v>
      </c>
      <c r="J5" s="1">
        <f t="shared" si="3"/>
        <v>1</v>
      </c>
    </row>
    <row r="6" spans="1:10" x14ac:dyDescent="0.25">
      <c r="A6" s="2">
        <v>45566</v>
      </c>
      <c r="B6">
        <v>147</v>
      </c>
      <c r="C6" s="1">
        <f t="shared" si="0"/>
        <v>8.2445316881660125E-2</v>
      </c>
      <c r="D6" s="3">
        <v>380</v>
      </c>
      <c r="E6" s="1">
        <f t="shared" si="1"/>
        <v>0.2131239484015704</v>
      </c>
      <c r="F6">
        <v>1256</v>
      </c>
      <c r="G6" s="1">
        <f t="shared" si="2"/>
        <v>0.70443073471676954</v>
      </c>
      <c r="I6">
        <f t="shared" si="3"/>
        <v>1783</v>
      </c>
      <c r="J6" s="1">
        <f t="shared" si="3"/>
        <v>1</v>
      </c>
    </row>
    <row r="7" spans="1:10" x14ac:dyDescent="0.25">
      <c r="A7" s="2">
        <v>45597</v>
      </c>
      <c r="B7">
        <v>116</v>
      </c>
      <c r="C7" s="1">
        <f t="shared" si="0"/>
        <v>6.1473237943826177E-2</v>
      </c>
      <c r="D7" s="3">
        <v>411</v>
      </c>
      <c r="E7" s="1">
        <f t="shared" si="1"/>
        <v>0.21780604133545309</v>
      </c>
      <c r="F7">
        <v>1360</v>
      </c>
      <c r="G7" s="1">
        <f t="shared" si="2"/>
        <v>0.72072072072072069</v>
      </c>
      <c r="I7">
        <f t="shared" si="3"/>
        <v>1887</v>
      </c>
      <c r="J7" s="1">
        <f t="shared" si="3"/>
        <v>1</v>
      </c>
    </row>
    <row r="8" spans="1:10" x14ac:dyDescent="0.25">
      <c r="A8" s="2">
        <v>45627</v>
      </c>
      <c r="B8">
        <v>101</v>
      </c>
      <c r="C8" s="1">
        <f t="shared" si="0"/>
        <v>5.3185887309110058E-2</v>
      </c>
      <c r="D8" s="3">
        <v>379</v>
      </c>
      <c r="E8" s="1">
        <f t="shared" si="1"/>
        <v>0.19957872564507637</v>
      </c>
      <c r="F8">
        <v>1419</v>
      </c>
      <c r="G8" s="1">
        <f t="shared" si="2"/>
        <v>0.7472353870458136</v>
      </c>
      <c r="I8">
        <f t="shared" si="3"/>
        <v>1899</v>
      </c>
      <c r="J8" s="1">
        <f t="shared" si="3"/>
        <v>1</v>
      </c>
    </row>
    <row r="9" spans="1:10" x14ac:dyDescent="0.25">
      <c r="A9" s="2">
        <v>45658</v>
      </c>
      <c r="B9">
        <v>137</v>
      </c>
      <c r="C9" s="1">
        <f t="shared" si="0"/>
        <v>7.6579094466182218E-2</v>
      </c>
      <c r="D9" s="3">
        <v>424</v>
      </c>
      <c r="E9" s="1">
        <f t="shared" si="1"/>
        <v>0.23700391280044716</v>
      </c>
      <c r="F9">
        <v>1228</v>
      </c>
      <c r="G9" s="1">
        <f t="shared" si="2"/>
        <v>0.68641699273337065</v>
      </c>
      <c r="I9">
        <f t="shared" si="3"/>
        <v>1789</v>
      </c>
      <c r="J9" s="1">
        <f t="shared" si="3"/>
        <v>1</v>
      </c>
    </row>
    <row r="10" spans="1:10" x14ac:dyDescent="0.25">
      <c r="A10" s="2">
        <v>45689</v>
      </c>
      <c r="B10">
        <v>151</v>
      </c>
      <c r="C10" s="1">
        <f t="shared" si="0"/>
        <v>8.305830583058306E-2</v>
      </c>
      <c r="D10" s="3">
        <v>438</v>
      </c>
      <c r="E10" s="1">
        <f t="shared" si="1"/>
        <v>0.24092409240924093</v>
      </c>
      <c r="F10">
        <v>1229</v>
      </c>
      <c r="G10" s="1">
        <f t="shared" si="2"/>
        <v>0.676017601760176</v>
      </c>
      <c r="I10">
        <f t="shared" si="3"/>
        <v>1818</v>
      </c>
      <c r="J10" s="1">
        <f t="shared" si="3"/>
        <v>1</v>
      </c>
    </row>
    <row r="11" spans="1:10" x14ac:dyDescent="0.25">
      <c r="A11" s="2">
        <v>45717</v>
      </c>
      <c r="B11">
        <v>147</v>
      </c>
      <c r="C11" s="1">
        <f t="shared" si="0"/>
        <v>7.4733096085409248E-2</v>
      </c>
      <c r="D11" s="3">
        <v>377</v>
      </c>
      <c r="E11" s="1">
        <f t="shared" si="1"/>
        <v>0.19166243009659381</v>
      </c>
      <c r="F11">
        <v>1443</v>
      </c>
      <c r="G11" s="1">
        <f t="shared" si="2"/>
        <v>0.73360447381799698</v>
      </c>
      <c r="I11">
        <f t="shared" si="3"/>
        <v>1967</v>
      </c>
      <c r="J11" s="1">
        <f t="shared" si="3"/>
        <v>1</v>
      </c>
    </row>
    <row r="12" spans="1:10" x14ac:dyDescent="0.25">
      <c r="A12" s="2">
        <v>45748</v>
      </c>
      <c r="B12">
        <v>97</v>
      </c>
      <c r="C12" s="1">
        <f t="shared" si="0"/>
        <v>5.0811943425877422E-2</v>
      </c>
      <c r="D12" s="3">
        <v>381</v>
      </c>
      <c r="E12" s="1">
        <f t="shared" si="1"/>
        <v>0.1995809324253536</v>
      </c>
      <c r="F12">
        <v>1431</v>
      </c>
      <c r="G12" s="1">
        <f t="shared" si="2"/>
        <v>0.74960712414876896</v>
      </c>
      <c r="I12">
        <f t="shared" si="3"/>
        <v>1909</v>
      </c>
      <c r="J12" s="1">
        <f t="shared" si="3"/>
        <v>1</v>
      </c>
    </row>
    <row r="13" spans="1:10" x14ac:dyDescent="0.25">
      <c r="A13" s="2">
        <v>45778</v>
      </c>
      <c r="B13">
        <v>118</v>
      </c>
      <c r="C13" s="1">
        <f t="shared" si="0"/>
        <v>6.0450819672131145E-2</v>
      </c>
      <c r="D13" s="3">
        <v>387</v>
      </c>
      <c r="E13" s="1">
        <f t="shared" si="1"/>
        <v>0.19825819672131148</v>
      </c>
      <c r="F13">
        <v>1447</v>
      </c>
      <c r="G13" s="1">
        <f t="shared" si="2"/>
        <v>0.74129098360655743</v>
      </c>
      <c r="I13">
        <f t="shared" si="3"/>
        <v>1952</v>
      </c>
      <c r="J13" s="1">
        <f t="shared" si="3"/>
        <v>1</v>
      </c>
    </row>
    <row r="14" spans="1:10" x14ac:dyDescent="0.25">
      <c r="A14" s="2">
        <v>45809</v>
      </c>
      <c r="B14">
        <v>159</v>
      </c>
      <c r="C14" s="1">
        <f t="shared" si="0"/>
        <v>8.0833756990340622E-2</v>
      </c>
      <c r="D14" s="3">
        <v>502</v>
      </c>
      <c r="E14" s="1">
        <f t="shared" si="1"/>
        <v>0.25521098118962887</v>
      </c>
      <c r="F14">
        <v>1306</v>
      </c>
      <c r="G14" s="1">
        <f t="shared" si="2"/>
        <v>0.66395526182003051</v>
      </c>
      <c r="I14">
        <f t="shared" si="3"/>
        <v>1967</v>
      </c>
      <c r="J14" s="1">
        <f t="shared" si="3"/>
        <v>1</v>
      </c>
    </row>
    <row r="15" spans="1:10" x14ac:dyDescent="0.25">
      <c r="A15" s="2">
        <v>45839</v>
      </c>
      <c r="B15">
        <v>206</v>
      </c>
      <c r="C15" s="1">
        <f t="shared" si="0"/>
        <v>0.12402167369054787</v>
      </c>
      <c r="D15" s="3">
        <v>546</v>
      </c>
      <c r="E15" s="1">
        <f t="shared" si="1"/>
        <v>0.32871763997591813</v>
      </c>
      <c r="F15">
        <v>909</v>
      </c>
      <c r="G15" s="1">
        <f t="shared" si="2"/>
        <v>0.54726068633353397</v>
      </c>
      <c r="I15">
        <f t="shared" si="3"/>
        <v>1661</v>
      </c>
      <c r="J15" s="1">
        <f t="shared" si="3"/>
        <v>1</v>
      </c>
    </row>
    <row r="16" spans="1:10" x14ac:dyDescent="0.25">
      <c r="A16" s="2">
        <v>45870</v>
      </c>
      <c r="B16">
        <v>197</v>
      </c>
      <c r="C16" s="1">
        <f t="shared" si="0"/>
        <v>0.11932162325863113</v>
      </c>
      <c r="D16" s="3">
        <v>563</v>
      </c>
      <c r="E16" s="1">
        <f t="shared" si="1"/>
        <v>0.3410054512416717</v>
      </c>
      <c r="F16">
        <v>891</v>
      </c>
      <c r="G16" s="1">
        <f t="shared" si="2"/>
        <v>0.53967292549969714</v>
      </c>
      <c r="I16">
        <f t="shared" si="3"/>
        <v>1651</v>
      </c>
      <c r="J16" s="1">
        <f t="shared" si="3"/>
        <v>1</v>
      </c>
    </row>
    <row r="17" spans="1:10" x14ac:dyDescent="0.25">
      <c r="A17" s="2">
        <v>45901</v>
      </c>
      <c r="B17">
        <v>172</v>
      </c>
      <c r="C17" s="1">
        <f t="shared" si="0"/>
        <v>8.0903104421448727E-2</v>
      </c>
      <c r="D17" s="3">
        <v>484</v>
      </c>
      <c r="E17" s="1">
        <f t="shared" si="1"/>
        <v>0.22765757290686736</v>
      </c>
      <c r="F17">
        <v>1470</v>
      </c>
      <c r="G17" s="1">
        <f t="shared" si="2"/>
        <v>0.69143932267168395</v>
      </c>
      <c r="I17">
        <f t="shared" si="3"/>
        <v>2126</v>
      </c>
      <c r="J17" s="1">
        <f t="shared" si="3"/>
        <v>1</v>
      </c>
    </row>
    <row r="18" spans="1:10" x14ac:dyDescent="0.25">
      <c r="A18" s="2">
        <v>45931</v>
      </c>
      <c r="B18">
        <v>165</v>
      </c>
      <c r="C18" s="1">
        <f t="shared" si="0"/>
        <v>7.395786642761093E-2</v>
      </c>
      <c r="D18" s="3">
        <v>492</v>
      </c>
      <c r="E18" s="1">
        <f t="shared" si="1"/>
        <v>0.22052891080233078</v>
      </c>
      <c r="F18">
        <v>1574</v>
      </c>
      <c r="G18" s="1">
        <f t="shared" si="2"/>
        <v>0.70551322277005823</v>
      </c>
      <c r="I18">
        <f t="shared" si="3"/>
        <v>2231</v>
      </c>
      <c r="J18" s="1">
        <f t="shared" si="3"/>
        <v>1</v>
      </c>
    </row>
    <row r="19" spans="1:10" x14ac:dyDescent="0.25">
      <c r="A19" s="2">
        <v>45962</v>
      </c>
      <c r="B19">
        <v>187</v>
      </c>
      <c r="C19" s="1">
        <f t="shared" si="0"/>
        <v>0.15178571428571427</v>
      </c>
      <c r="D19" s="3">
        <v>410</v>
      </c>
      <c r="E19" s="1">
        <f t="shared" si="1"/>
        <v>0.33279220779220781</v>
      </c>
      <c r="F19">
        <v>635</v>
      </c>
      <c r="G19" s="1">
        <f t="shared" si="2"/>
        <v>0.51542207792207795</v>
      </c>
      <c r="I19">
        <f t="shared" si="3"/>
        <v>1232</v>
      </c>
      <c r="J19" s="1">
        <f t="shared" si="3"/>
        <v>1</v>
      </c>
    </row>
    <row r="20" spans="1:10" x14ac:dyDescent="0.25">
      <c r="A20" s="2">
        <v>45992</v>
      </c>
      <c r="B20">
        <v>186</v>
      </c>
      <c r="C20" s="1">
        <f t="shared" si="0"/>
        <v>8.1364829396325458E-2</v>
      </c>
      <c r="D20" s="3">
        <v>485</v>
      </c>
      <c r="E20" s="1">
        <f t="shared" si="1"/>
        <v>0.21216097987751531</v>
      </c>
      <c r="F20">
        <v>1615</v>
      </c>
      <c r="G20" s="1">
        <f t="shared" si="2"/>
        <v>0.70647419072615925</v>
      </c>
      <c r="I20">
        <f t="shared" si="3"/>
        <v>2286</v>
      </c>
      <c r="J20" s="1">
        <f t="shared" si="3"/>
        <v>1</v>
      </c>
    </row>
    <row r="23" spans="1:10" x14ac:dyDescent="0.25">
      <c r="B23" s="6"/>
    </row>
    <row r="29" spans="1:10" x14ac:dyDescent="0.25">
      <c r="D29" s="3"/>
    </row>
  </sheetData>
  <mergeCells count="3">
    <mergeCell ref="B1:C1"/>
    <mergeCell ref="D1:E1"/>
    <mergeCell ref="F1:G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花蓮縣TPASS年占比</vt:lpstr>
      <vt:lpstr>臺東縣TPASS年占比</vt:lpstr>
      <vt:lpstr>花蓮縣TPASS月占比</vt:lpstr>
      <vt:lpstr>臺東縣TPASS月占比</vt:lpstr>
      <vt:lpstr>花蓮縣市區客運TPASS年占比</vt:lpstr>
      <vt:lpstr>臺東縣市區客運TPASS年占比</vt:lpstr>
      <vt:lpstr>花蓮縣市區客運TPASS月占比</vt:lpstr>
      <vt:lpstr>臺東縣市區客運TPASS月占比</vt:lpstr>
      <vt:lpstr>花蓮縣公路客運TPASS年占比</vt:lpstr>
      <vt:lpstr>臺東縣公路客運TPASS年占比</vt:lpstr>
      <vt:lpstr>花蓮縣公路客運TPASS月占比</vt:lpstr>
      <vt:lpstr>臺東縣公路客運TPASS月占比</vt:lpstr>
      <vt:lpstr>市區客運各種TPASS成長率</vt:lpstr>
      <vt:lpstr>公路客運各種TPASS成長率</vt:lpstr>
      <vt:lpstr>花蓮縣市區客運平均搭乘里程</vt:lpstr>
      <vt:lpstr>臺東縣市區客運平均搭乘里程</vt:lpstr>
      <vt:lpstr>花蓮縣公路客運平均搭乘里程</vt:lpstr>
      <vt:lpstr>臺東縣公路客運平均搭乘里程</vt:lpstr>
      <vt:lpstr>花蓮縣市區客運乘客各搭乘次數區間月人數變化表</vt:lpstr>
      <vt:lpstr>花蓮縣市區客運TPASS乘客各搭乘次數區間月人數變化表</vt:lpstr>
      <vt:lpstr>臺東縣市區客運乘客各搭乘次數區間月人數變化表</vt:lpstr>
      <vt:lpstr>臺東縣市區客運TPASS乘客各搭乘次數區間月人數變化表</vt:lpstr>
      <vt:lpstr>花蓮縣公路客運乘客各搭乘次數區間月人數變化表</vt:lpstr>
      <vt:lpstr>花蓮縣公路客運TPASS乘客各搭乘次數區間月人數變化表</vt:lpstr>
      <vt:lpstr>臺東縣公路客運乘客各搭乘次數區間月人數變化表</vt:lpstr>
      <vt:lpstr>臺東縣公路客運TPASS乘客各搭乘次數區間月人數變化表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Jundian Chen</dc:creator>
  <cp:lastModifiedBy>陳竣典</cp:lastModifiedBy>
  <dcterms:created xsi:type="dcterms:W3CDTF">2015-06-05T18:17:20Z</dcterms:created>
  <dcterms:modified xsi:type="dcterms:W3CDTF">2026-04-14T13:41:11Z</dcterms:modified>
</cp:coreProperties>
</file>