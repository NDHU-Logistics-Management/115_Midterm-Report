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da5f600723a9/桌面/運籌計畫/huaTTT_bus_data_23to25/huaTTT_bus_data_23to25/"/>
    </mc:Choice>
  </mc:AlternateContent>
  <xr:revisionPtr revIDLastSave="474" documentId="8_{978E527D-C310-440A-B90D-AEA721DE961C}" xr6:coauthVersionLast="47" xr6:coauthVersionMax="47" xr10:uidLastSave="{25212882-3565-475B-BBA2-8659ECD3E8B2}"/>
  <bookViews>
    <workbookView xWindow="-108" yWindow="-108" windowWidth="23256" windowHeight="13896" xr2:uid="{D696006E-6B09-4A1F-B765-609C9920021E}"/>
  </bookViews>
  <sheets>
    <sheet name="112年至114年台東縣公路客運年總運量統計表" sheetId="1" r:id="rId1"/>
    <sheet name="112年至114年臺東縣公路客運持卡身分人數百分比表" sheetId="2" r:id="rId2"/>
    <sheet name="112年至114年臺東縣公路客運定期票人數百分比表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D7" i="1"/>
  <c r="F7" i="1"/>
  <c r="G3" i="1" s="1"/>
  <c r="H7" i="1"/>
  <c r="I3" i="1"/>
  <c r="I4" i="1"/>
  <c r="I5" i="1"/>
  <c r="I6" i="1"/>
  <c r="I7" i="1"/>
  <c r="I2" i="1"/>
  <c r="H3" i="1"/>
  <c r="H4" i="1"/>
  <c r="H5" i="1"/>
  <c r="H6" i="1"/>
  <c r="H2" i="1"/>
  <c r="C10" i="3"/>
  <c r="C3" i="3" s="1"/>
  <c r="D10" i="3"/>
  <c r="D9" i="3" s="1"/>
  <c r="B10" i="3"/>
  <c r="B7" i="3" s="1"/>
  <c r="F8" i="3"/>
  <c r="E8" i="3"/>
  <c r="F6" i="3"/>
  <c r="E6" i="3"/>
  <c r="F4" i="3"/>
  <c r="E4" i="3"/>
  <c r="F4" i="2"/>
  <c r="F6" i="2"/>
  <c r="F8" i="2"/>
  <c r="F10" i="2"/>
  <c r="F12" i="2"/>
  <c r="F2" i="2"/>
  <c r="E4" i="2"/>
  <c r="E6" i="2"/>
  <c r="E8" i="2"/>
  <c r="E10" i="2"/>
  <c r="E12" i="2"/>
  <c r="E2" i="2"/>
  <c r="D14" i="2"/>
  <c r="D3" i="2" s="1"/>
  <c r="C14" i="2"/>
  <c r="C13" i="2" s="1"/>
  <c r="B14" i="2"/>
  <c r="B7" i="2" s="1"/>
  <c r="E3" i="1"/>
  <c r="E6" i="1"/>
  <c r="E5" i="1"/>
  <c r="E4" i="1"/>
  <c r="E2" i="1"/>
  <c r="E7" i="1" s="1"/>
  <c r="C7" i="2" l="1"/>
  <c r="C4" i="1"/>
  <c r="D9" i="2"/>
  <c r="F14" i="2"/>
  <c r="B3" i="2"/>
  <c r="E14" i="2"/>
  <c r="G6" i="1"/>
  <c r="G5" i="1"/>
  <c r="G4" i="1"/>
  <c r="G2" i="1"/>
  <c r="C2" i="1"/>
  <c r="C6" i="1"/>
  <c r="C5" i="1"/>
  <c r="C3" i="1"/>
  <c r="D3" i="3"/>
  <c r="D7" i="3"/>
  <c r="C9" i="3"/>
  <c r="C7" i="3"/>
  <c r="B9" i="3"/>
  <c r="B3" i="3"/>
  <c r="C5" i="3"/>
  <c r="D5" i="3"/>
  <c r="E10" i="3"/>
  <c r="F10" i="3"/>
  <c r="B5" i="3"/>
  <c r="B5" i="2"/>
  <c r="D5" i="2"/>
  <c r="D7" i="2"/>
  <c r="D11" i="2"/>
  <c r="D13" i="2"/>
  <c r="B9" i="2"/>
  <c r="B11" i="2"/>
  <c r="B13" i="2"/>
  <c r="C3" i="2"/>
  <c r="C5" i="2"/>
  <c r="C9" i="2"/>
  <c r="C11" i="2"/>
  <c r="C7" i="1" l="1"/>
  <c r="G7" i="1"/>
</calcChain>
</file>

<file path=xl/sharedStrings.xml><?xml version="1.0" encoding="utf-8"?>
<sst xmlns="http://schemas.openxmlformats.org/spreadsheetml/2006/main" count="30" uniqueCount="25">
  <si>
    <t>海岸線</t>
  </si>
  <si>
    <t>縱谷線</t>
  </si>
  <si>
    <t>山海線</t>
  </si>
  <si>
    <t>知本線</t>
  </si>
  <si>
    <t>南迴線</t>
  </si>
  <si>
    <t>總計</t>
  </si>
  <si>
    <t>總計</t>
    <phoneticPr fontId="2" type="noConversion"/>
  </si>
  <si>
    <t>113年成長率</t>
    <phoneticPr fontId="2" type="noConversion"/>
  </si>
  <si>
    <t>114年成長率</t>
    <phoneticPr fontId="2" type="noConversion"/>
  </si>
  <si>
    <t>敬老優待</t>
    <phoneticPr fontId="2" type="noConversion"/>
  </si>
  <si>
    <t>愛心優待</t>
    <phoneticPr fontId="2" type="noConversion"/>
  </si>
  <si>
    <t>其他優待</t>
    <phoneticPr fontId="2" type="noConversion"/>
  </si>
  <si>
    <t>非定期票</t>
    <phoneticPr fontId="2" type="noConversion"/>
  </si>
  <si>
    <t xml:space="preserve">                       年份
定期票</t>
    <phoneticPr fontId="2" type="noConversion"/>
  </si>
  <si>
    <t xml:space="preserve">             年份
持卡身分</t>
    <phoneticPr fontId="2" type="noConversion"/>
  </si>
  <si>
    <t>112年</t>
    <phoneticPr fontId="2" type="noConversion"/>
  </si>
  <si>
    <t>113年</t>
  </si>
  <si>
    <t>114年</t>
  </si>
  <si>
    <t>花蓮縣399</t>
    <phoneticPr fontId="2" type="noConversion"/>
  </si>
  <si>
    <t>花蓮縣199</t>
    <phoneticPr fontId="2" type="noConversion"/>
  </si>
  <si>
    <t>臺東縣299</t>
    <phoneticPr fontId="2" type="noConversion"/>
  </si>
  <si>
    <t>普通
(含TPASS)</t>
    <phoneticPr fontId="2" type="noConversion"/>
  </si>
  <si>
    <t>學生</t>
    <phoneticPr fontId="2" type="noConversion"/>
  </si>
  <si>
    <t>無法區別</t>
    <phoneticPr fontId="2" type="noConversion"/>
  </si>
  <si>
    <t xml:space="preserve">         年份
路線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</si>
</sst>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76" formatCode="0.0%"/>
    <numFmt numFmtId="177" formatCode="_-* #,##0_-;\-* #,##0_-;_-* &quot;-&quot;??_-;_-@_-"/>
    <numFmt numFmtId="178" formatCode="#,##0_ "/>
    <numFmt numFmtId="179" formatCode="#,##0.00_);[Red]\(#,##0.00\)"/>
    <numFmt numFmtId="180" formatCode="#,##0.0_);[Red]\(#,##0.0\)"/>
  </numFmts>
  <fonts count="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1" applyNumberFormat="1" applyFont="1" applyBorder="1">
      <alignment vertical="center"/>
    </xf>
    <xf numFmtId="176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176" fontId="3" fillId="0" borderId="1" xfId="1" applyNumberFormat="1" applyFont="1" applyBorder="1" applyAlignment="1">
      <alignment horizontal="center" vertical="center"/>
    </xf>
    <xf numFmtId="177" fontId="3" fillId="0" borderId="1" xfId="2" applyNumberFormat="1" applyFont="1" applyBorder="1">
      <alignment vertical="center"/>
    </xf>
    <xf numFmtId="178" fontId="3" fillId="0" borderId="1" xfId="2" applyNumberFormat="1" applyFont="1" applyBorder="1">
      <alignment vertical="center"/>
    </xf>
    <xf numFmtId="179" fontId="3" fillId="0" borderId="2" xfId="0" applyNumberFormat="1" applyFont="1" applyBorder="1" applyAlignment="1">
      <alignment vertical="center" wrapText="1"/>
    </xf>
    <xf numFmtId="180" fontId="3" fillId="0" borderId="1" xfId="0" applyNumberFormat="1" applyFont="1" applyBorder="1">
      <alignment vertical="center"/>
    </xf>
    <xf numFmtId="179" fontId="3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0" fillId="0" borderId="0" xfId="0">
      <alignment vertical="center"/>
    </xf>
    <xf numFmtId="176" fontId="3" fillId="0" borderId="1" xfId="1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95D3-7844-4C62-A36B-CC5FFA174E31}">
  <dimension ref="A1:I7"/>
  <sheetViews>
    <sheetView tabSelected="1" zoomScale="90" zoomScaleNormal="90" workbookViewId="0">
      <selection activeCell="G9" sqref="G9"/>
    </sheetView>
  </sheetViews>
  <sheetFormatPr defaultRowHeight="16.2" x14ac:dyDescent="0.3"/>
  <cols>
    <col min="1" max="1" width="10.33203125" customWidth="1"/>
    <col min="2" max="2" width="12.21875" customWidth="1"/>
    <col min="3" max="3" width="9.33203125" customWidth="1"/>
    <col min="4" max="4" width="13.77734375" customWidth="1"/>
    <col min="5" max="5" width="8.77734375" customWidth="1"/>
    <col min="6" max="6" width="13.21875" customWidth="1"/>
    <col min="7" max="7" width="9.77734375" customWidth="1"/>
    <col min="8" max="8" width="15.109375" customWidth="1"/>
    <col min="9" max="9" width="14.109375" customWidth="1"/>
  </cols>
  <sheetData>
    <row r="1" spans="1:9" ht="31.8" customHeight="1" x14ac:dyDescent="0.3">
      <c r="A1" s="8" t="s">
        <v>24</v>
      </c>
      <c r="B1" s="11" t="s">
        <v>15</v>
      </c>
      <c r="C1" s="11"/>
      <c r="D1" s="11" t="s">
        <v>16</v>
      </c>
      <c r="E1" s="11"/>
      <c r="F1" s="11" t="s">
        <v>17</v>
      </c>
      <c r="G1" s="11"/>
      <c r="H1" s="5" t="s">
        <v>7</v>
      </c>
      <c r="I1" s="5" t="s">
        <v>8</v>
      </c>
    </row>
    <row r="2" spans="1:9" ht="31.8" customHeight="1" x14ac:dyDescent="0.3">
      <c r="A2" s="10" t="s">
        <v>0</v>
      </c>
      <c r="B2" s="9">
        <v>334882</v>
      </c>
      <c r="C2" s="2">
        <f>B2/B$7</f>
        <v>0.37584623258152566</v>
      </c>
      <c r="D2" s="9">
        <v>450501</v>
      </c>
      <c r="E2" s="2">
        <f>D2/D$7</f>
        <v>0.43369488934306683</v>
      </c>
      <c r="F2" s="9">
        <v>350424</v>
      </c>
      <c r="G2" s="2">
        <f>F2/F$7</f>
        <v>0.37490611940969171</v>
      </c>
      <c r="H2" s="2">
        <f>(D2-B2)/D2</f>
        <v>0.25664537925553993</v>
      </c>
      <c r="I2" s="2">
        <f>(F2-D2)/F2</f>
        <v>-0.28558831586877609</v>
      </c>
    </row>
    <row r="3" spans="1:9" ht="31.8" customHeight="1" x14ac:dyDescent="0.3">
      <c r="A3" s="10" t="s">
        <v>1</v>
      </c>
      <c r="B3" s="9">
        <v>202170</v>
      </c>
      <c r="C3" s="2">
        <f t="shared" ref="C3:C7" si="0">B3/B$7</f>
        <v>0.22690031963798304</v>
      </c>
      <c r="D3" s="9">
        <v>205371</v>
      </c>
      <c r="E3" s="2">
        <f t="shared" ref="E3:E7" si="1">D3/D$7</f>
        <v>0.19770955695830858</v>
      </c>
      <c r="F3" s="9">
        <v>201710</v>
      </c>
      <c r="G3" s="2">
        <f t="shared" ref="G3:G7" si="2">F3/F$7</f>
        <v>0.21580232331726398</v>
      </c>
      <c r="H3" s="2">
        <f t="shared" ref="H3:H7" si="3">(D3-B3)/D3</f>
        <v>1.5586426515915099E-2</v>
      </c>
      <c r="I3" s="2">
        <f t="shared" ref="I3:I7" si="4">(F3-D3)/F3</f>
        <v>-1.8149819047146895E-2</v>
      </c>
    </row>
    <row r="4" spans="1:9" ht="31.8" customHeight="1" x14ac:dyDescent="0.3">
      <c r="A4" s="10" t="s">
        <v>2</v>
      </c>
      <c r="B4" s="9">
        <v>17551</v>
      </c>
      <c r="C4" s="2">
        <f>B4/B$7</f>
        <v>1.9697915170234163E-2</v>
      </c>
      <c r="D4" s="9">
        <v>22626</v>
      </c>
      <c r="E4" s="2">
        <f>D4/D$7</f>
        <v>2.1781928489118182E-2</v>
      </c>
      <c r="F4" s="9">
        <v>18229</v>
      </c>
      <c r="G4" s="2">
        <f t="shared" si="2"/>
        <v>1.9502555905757796E-2</v>
      </c>
      <c r="H4" s="2">
        <f t="shared" si="3"/>
        <v>0.22429947847608944</v>
      </c>
      <c r="I4" s="2">
        <f t="shared" si="4"/>
        <v>-0.24120906248285698</v>
      </c>
    </row>
    <row r="5" spans="1:9" ht="31.8" customHeight="1" x14ac:dyDescent="0.3">
      <c r="A5" s="10" t="s">
        <v>4</v>
      </c>
      <c r="B5" s="9">
        <v>137344</v>
      </c>
      <c r="C5" s="2">
        <f t="shared" si="0"/>
        <v>0.15414451946559402</v>
      </c>
      <c r="D5" s="9">
        <v>149877</v>
      </c>
      <c r="E5" s="2">
        <f t="shared" si="1"/>
        <v>0.14428578167433773</v>
      </c>
      <c r="F5" s="9">
        <v>163501</v>
      </c>
      <c r="G5" s="2">
        <f t="shared" si="2"/>
        <v>0.17492387915669019</v>
      </c>
      <c r="H5" s="2">
        <f t="shared" si="3"/>
        <v>8.3621903294034447E-2</v>
      </c>
      <c r="I5" s="2">
        <f t="shared" si="4"/>
        <v>8.3326707481911427E-2</v>
      </c>
    </row>
    <row r="6" spans="1:9" ht="31.8" customHeight="1" x14ac:dyDescent="0.3">
      <c r="A6" s="10" t="s">
        <v>3</v>
      </c>
      <c r="B6" s="9">
        <v>199061</v>
      </c>
      <c r="C6" s="2">
        <f>B6/B$7</f>
        <v>0.22341101314466313</v>
      </c>
      <c r="D6" s="9">
        <v>210376</v>
      </c>
      <c r="E6" s="2">
        <f>D6/D$7</f>
        <v>0.20252784353516867</v>
      </c>
      <c r="F6" s="9">
        <v>200834</v>
      </c>
      <c r="G6" s="2">
        <f t="shared" si="2"/>
        <v>0.21486512221059637</v>
      </c>
      <c r="H6" s="2">
        <f t="shared" si="3"/>
        <v>5.3784652241700572E-2</v>
      </c>
      <c r="I6" s="2">
        <f t="shared" si="4"/>
        <v>-4.7511875479251522E-2</v>
      </c>
    </row>
    <row r="7" spans="1:9" ht="31.8" customHeight="1" x14ac:dyDescent="0.3">
      <c r="A7" s="10" t="s">
        <v>5</v>
      </c>
      <c r="B7" s="9">
        <f>B2+B3+B4+B5+B6</f>
        <v>891008</v>
      </c>
      <c r="C7" s="2">
        <f t="shared" ref="C7:G7" si="5">C2+C3+C4+C5+C6</f>
        <v>1</v>
      </c>
      <c r="D7" s="9">
        <f t="shared" si="5"/>
        <v>1038751</v>
      </c>
      <c r="E7" s="2">
        <f t="shared" si="5"/>
        <v>1</v>
      </c>
      <c r="F7" s="9">
        <f t="shared" si="5"/>
        <v>934698</v>
      </c>
      <c r="G7" s="2">
        <f t="shared" si="5"/>
        <v>1</v>
      </c>
      <c r="H7" s="2">
        <f t="shared" si="3"/>
        <v>0.14223139135365453</v>
      </c>
      <c r="I7" s="2">
        <f t="shared" si="4"/>
        <v>-0.11132258761653496</v>
      </c>
    </row>
  </sheetData>
  <mergeCells count="3">
    <mergeCell ref="B1:C1"/>
    <mergeCell ref="D1:E1"/>
    <mergeCell ref="F1:G1"/>
  </mergeCells>
  <phoneticPr fontId="2" type="noConversion"/>
  <printOptions heading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3597-EACB-469C-BF7E-B035EB2699ED}">
  <dimension ref="A1:F17"/>
  <sheetViews>
    <sheetView workbookViewId="0">
      <selection activeCell="C23" sqref="C23"/>
    </sheetView>
  </sheetViews>
  <sheetFormatPr defaultRowHeight="16.2" x14ac:dyDescent="0.3"/>
  <cols>
    <col min="1" max="4" width="14.88671875" customWidth="1"/>
    <col min="5" max="5" width="14.88671875" style="3" customWidth="1"/>
    <col min="6" max="6" width="14.88671875" customWidth="1"/>
  </cols>
  <sheetData>
    <row r="1" spans="1:6" ht="31.2" x14ac:dyDescent="0.3">
      <c r="A1" s="4" t="s">
        <v>14</v>
      </c>
      <c r="B1" s="1">
        <v>112</v>
      </c>
      <c r="C1" s="1">
        <v>113</v>
      </c>
      <c r="D1" s="1">
        <v>114</v>
      </c>
      <c r="E1" s="5" t="s">
        <v>7</v>
      </c>
      <c r="F1" s="5" t="s">
        <v>8</v>
      </c>
    </row>
    <row r="2" spans="1:6" x14ac:dyDescent="0.3">
      <c r="A2" s="14" t="s">
        <v>21</v>
      </c>
      <c r="B2" s="6">
        <v>296055</v>
      </c>
      <c r="C2" s="6">
        <v>358677</v>
      </c>
      <c r="D2" s="6">
        <v>298479</v>
      </c>
      <c r="E2" s="13">
        <f>(C2-B2)/B2</f>
        <v>0.21152150782793738</v>
      </c>
      <c r="F2" s="13">
        <f>(D2-C2)/C2</f>
        <v>-0.16783345461236712</v>
      </c>
    </row>
    <row r="3" spans="1:6" x14ac:dyDescent="0.3">
      <c r="A3" s="15"/>
      <c r="B3" s="2">
        <f>B2/$B$14</f>
        <v>0.33226974393046976</v>
      </c>
      <c r="C3" s="2">
        <f>C2/$C$14</f>
        <v>0.34529641848720244</v>
      </c>
      <c r="D3" s="2">
        <f>D2/$D$14</f>
        <v>0.31933201954000118</v>
      </c>
      <c r="E3" s="13"/>
      <c r="F3" s="13"/>
    </row>
    <row r="4" spans="1:6" x14ac:dyDescent="0.3">
      <c r="A4" s="15" t="s">
        <v>9</v>
      </c>
      <c r="B4" s="6">
        <v>349263</v>
      </c>
      <c r="C4" s="6">
        <v>376016</v>
      </c>
      <c r="D4" s="6">
        <v>318542</v>
      </c>
      <c r="E4" s="13">
        <f t="shared" ref="E4" si="0">(C4-B4)/B4</f>
        <v>7.6598437280788398E-2</v>
      </c>
      <c r="F4" s="13">
        <f t="shared" ref="F4" si="1">(D4-C4)/C4</f>
        <v>-0.15284987872856473</v>
      </c>
    </row>
    <row r="5" spans="1:6" x14ac:dyDescent="0.3">
      <c r="A5" s="15"/>
      <c r="B5" s="2">
        <f>B4/$B$14</f>
        <v>0.39198637947134035</v>
      </c>
      <c r="C5" s="2">
        <f>C4/$C$14</f>
        <v>0.36198858051640864</v>
      </c>
      <c r="D5" s="2">
        <f>D4/$D$14</f>
        <v>0.34079670652980965</v>
      </c>
      <c r="E5" s="13"/>
      <c r="F5" s="13"/>
    </row>
    <row r="6" spans="1:6" x14ac:dyDescent="0.3">
      <c r="A6" s="15" t="s">
        <v>22</v>
      </c>
      <c r="B6" s="6">
        <v>197410</v>
      </c>
      <c r="C6" s="6">
        <v>138723</v>
      </c>
      <c r="D6" s="6">
        <v>91658</v>
      </c>
      <c r="E6" s="13">
        <f t="shared" ref="E6" si="2">(C6-B6)/B6</f>
        <v>-0.29728483866065547</v>
      </c>
      <c r="F6" s="13">
        <f t="shared" ref="F6" si="3">(D6-C6)/C6</f>
        <v>-0.33927322794345566</v>
      </c>
    </row>
    <row r="7" spans="1:6" x14ac:dyDescent="0.3">
      <c r="A7" s="15"/>
      <c r="B7" s="2">
        <f>B6/$B$14</f>
        <v>0.22155805559546043</v>
      </c>
      <c r="C7" s="2">
        <f>C6/$C$14</f>
        <v>0.13354788587447811</v>
      </c>
      <c r="D7" s="2">
        <f>D6/$D$14</f>
        <v>9.8061619902899119E-2</v>
      </c>
      <c r="E7" s="13"/>
      <c r="F7" s="13"/>
    </row>
    <row r="8" spans="1:6" x14ac:dyDescent="0.3">
      <c r="A8" s="15" t="s">
        <v>10</v>
      </c>
      <c r="B8" s="6">
        <v>10653</v>
      </c>
      <c r="C8" s="6">
        <v>12785</v>
      </c>
      <c r="D8" s="6">
        <v>12212</v>
      </c>
      <c r="E8" s="13">
        <f t="shared" ref="E8" si="4">(C8-B8)/B8</f>
        <v>0.20013141837979911</v>
      </c>
      <c r="F8" s="13">
        <f t="shared" ref="F8" si="5">(D8-C8)/C8</f>
        <v>-4.4818146265154478E-2</v>
      </c>
    </row>
    <row r="9" spans="1:6" x14ac:dyDescent="0.3">
      <c r="A9" s="15"/>
      <c r="B9" s="2">
        <f>B8/$B$14</f>
        <v>1.1956121606091078E-2</v>
      </c>
      <c r="C9" s="2">
        <f>C8/$C$14</f>
        <v>1.2308050726304956E-2</v>
      </c>
      <c r="D9" s="2">
        <f>D8/$D$14</f>
        <v>1.3065182550941587E-2</v>
      </c>
      <c r="E9" s="13"/>
      <c r="F9" s="13"/>
    </row>
    <row r="10" spans="1:6" x14ac:dyDescent="0.3">
      <c r="A10" s="15" t="s">
        <v>11</v>
      </c>
      <c r="B10" s="6">
        <v>10165</v>
      </c>
      <c r="C10" s="6">
        <v>6111</v>
      </c>
      <c r="D10" s="6">
        <v>4742</v>
      </c>
      <c r="E10" s="13">
        <f t="shared" ref="E10" si="6">(C10-B10)/B10</f>
        <v>-0.39881947860304967</v>
      </c>
      <c r="F10" s="13">
        <f t="shared" ref="F10" si="7">(D10-C10)/C10</f>
        <v>-0.22402225495009001</v>
      </c>
    </row>
    <row r="11" spans="1:6" x14ac:dyDescent="0.3">
      <c r="A11" s="15"/>
      <c r="B11" s="2">
        <f>B10/$B$14</f>
        <v>1.1408427309294641E-2</v>
      </c>
      <c r="C11" s="2">
        <f>C10/$C$14</f>
        <v>5.8830268274109969E-3</v>
      </c>
      <c r="D11" s="2">
        <f>D10/$D$14</f>
        <v>5.0732964016184908E-3</v>
      </c>
      <c r="E11" s="13"/>
      <c r="F11" s="13"/>
    </row>
    <row r="12" spans="1:6" x14ac:dyDescent="0.3">
      <c r="A12" s="15" t="s">
        <v>23</v>
      </c>
      <c r="B12" s="6">
        <v>27462</v>
      </c>
      <c r="C12" s="6">
        <v>146439</v>
      </c>
      <c r="D12" s="6">
        <v>209065</v>
      </c>
      <c r="E12" s="13">
        <f t="shared" ref="E12" si="8">(C12-B12)/B12</f>
        <v>4.3324229844876561</v>
      </c>
      <c r="F12" s="13">
        <f t="shared" ref="F12" si="9">(D12-C12)/C12</f>
        <v>0.42765929841094247</v>
      </c>
    </row>
    <row r="13" spans="1:6" x14ac:dyDescent="0.3">
      <c r="A13" s="15"/>
      <c r="B13" s="2">
        <f>B12/$B$14</f>
        <v>3.0821272087343771E-2</v>
      </c>
      <c r="C13" s="2">
        <f>C12/$C$14</f>
        <v>0.14097603756819488</v>
      </c>
      <c r="D13" s="2">
        <f>D12/$D$14</f>
        <v>0.22367117507473003</v>
      </c>
      <c r="E13" s="13"/>
      <c r="F13" s="13"/>
    </row>
    <row r="14" spans="1:6" x14ac:dyDescent="0.3">
      <c r="A14" s="15" t="s">
        <v>6</v>
      </c>
      <c r="B14" s="6">
        <f>SUM(+B2+B4+B6+B8+B10+B12)</f>
        <v>891008</v>
      </c>
      <c r="C14" s="6">
        <f>SUM(+C2+C4+C6+C8+C10+C12)</f>
        <v>1038751</v>
      </c>
      <c r="D14" s="6">
        <f>SUM(+D2+D4+D6+D8+D10+D12)</f>
        <v>934698</v>
      </c>
      <c r="E14" s="13">
        <f t="shared" ref="E14" si="10">(C14-B14)/B14</f>
        <v>0.16581557067950006</v>
      </c>
      <c r="F14" s="13">
        <f t="shared" ref="F14" si="11">(D14-C14)/C14</f>
        <v>-0.10017126337303164</v>
      </c>
    </row>
    <row r="15" spans="1:6" x14ac:dyDescent="0.3">
      <c r="A15" s="15"/>
      <c r="B15" s="2">
        <v>1</v>
      </c>
      <c r="C15" s="2">
        <v>1</v>
      </c>
      <c r="D15" s="2">
        <v>1</v>
      </c>
      <c r="E15" s="13"/>
      <c r="F15" s="13"/>
    </row>
    <row r="16" spans="1:6" ht="19.95" customHeight="1" x14ac:dyDescent="0.3">
      <c r="A16" s="12"/>
    </row>
    <row r="17" spans="1:1" ht="19.95" customHeight="1" x14ac:dyDescent="0.3">
      <c r="A17" s="12"/>
    </row>
  </sheetData>
  <mergeCells count="22">
    <mergeCell ref="F12:F13"/>
    <mergeCell ref="F14:F15"/>
    <mergeCell ref="F2:F3"/>
    <mergeCell ref="F4:F5"/>
    <mergeCell ref="F6:F7"/>
    <mergeCell ref="F8:F9"/>
    <mergeCell ref="F10:F11"/>
    <mergeCell ref="A16:A17"/>
    <mergeCell ref="E2:E3"/>
    <mergeCell ref="E4:E5"/>
    <mergeCell ref="E6:E7"/>
    <mergeCell ref="E8:E9"/>
    <mergeCell ref="E10:E11"/>
    <mergeCell ref="A2:A3"/>
    <mergeCell ref="A4:A5"/>
    <mergeCell ref="A6:A7"/>
    <mergeCell ref="A8:A9"/>
    <mergeCell ref="E12:E13"/>
    <mergeCell ref="E14:E15"/>
    <mergeCell ref="A10:A11"/>
    <mergeCell ref="A12:A13"/>
    <mergeCell ref="A14:A1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B3490-4979-4C12-9191-BD96B78957B8}">
  <dimension ref="A1:F11"/>
  <sheetViews>
    <sheetView workbookViewId="0">
      <selection activeCell="E6" sqref="E6:F11"/>
    </sheetView>
  </sheetViews>
  <sheetFormatPr defaultRowHeight="16.2" x14ac:dyDescent="0.3"/>
  <cols>
    <col min="1" max="1" width="19.6640625" customWidth="1"/>
    <col min="2" max="6" width="14.77734375" customWidth="1"/>
  </cols>
  <sheetData>
    <row r="1" spans="1:6" ht="31.2" x14ac:dyDescent="0.3">
      <c r="A1" s="4" t="s">
        <v>13</v>
      </c>
      <c r="B1" s="1">
        <v>112</v>
      </c>
      <c r="C1" s="1">
        <v>113</v>
      </c>
      <c r="D1" s="1">
        <v>114</v>
      </c>
      <c r="E1" s="5" t="s">
        <v>7</v>
      </c>
      <c r="F1" s="5" t="s">
        <v>8</v>
      </c>
    </row>
    <row r="2" spans="1:6" x14ac:dyDescent="0.3">
      <c r="A2" s="14" t="s">
        <v>19</v>
      </c>
      <c r="B2" s="7">
        <v>0</v>
      </c>
      <c r="C2" s="7">
        <v>0</v>
      </c>
      <c r="D2" s="6">
        <v>1</v>
      </c>
      <c r="E2" s="13">
        <v>0</v>
      </c>
      <c r="F2" s="13">
        <v>0</v>
      </c>
    </row>
    <row r="3" spans="1:6" x14ac:dyDescent="0.3">
      <c r="A3" s="15"/>
      <c r="B3" s="2">
        <f>B2/$B$10</f>
        <v>0</v>
      </c>
      <c r="C3" s="2">
        <f>C2/$C$10</f>
        <v>0</v>
      </c>
      <c r="D3" s="2">
        <f>D2/$D$10</f>
        <v>1.0698642770178176E-6</v>
      </c>
      <c r="E3" s="13"/>
      <c r="F3" s="13"/>
    </row>
    <row r="4" spans="1:6" x14ac:dyDescent="0.3">
      <c r="A4" s="14" t="s">
        <v>18</v>
      </c>
      <c r="B4" s="6">
        <v>1296</v>
      </c>
      <c r="C4" s="6">
        <v>8001</v>
      </c>
      <c r="D4" s="6">
        <v>6353</v>
      </c>
      <c r="E4" s="13">
        <f t="shared" ref="E4:F4" si="0">(C4-B4)/B4</f>
        <v>5.1736111111111107</v>
      </c>
      <c r="F4" s="13">
        <f t="shared" si="0"/>
        <v>-0.2059742532183477</v>
      </c>
    </row>
    <row r="5" spans="1:6" x14ac:dyDescent="0.3">
      <c r="A5" s="15"/>
      <c r="B5" s="2">
        <f>B4/$B$10</f>
        <v>1.4545323947708663E-3</v>
      </c>
      <c r="C5" s="2">
        <f>C4/$C$10</f>
        <v>7.7025196606308926E-3</v>
      </c>
      <c r="D5" s="2">
        <f>D4/$D$10</f>
        <v>6.7968477518941944E-3</v>
      </c>
      <c r="E5" s="13"/>
      <c r="F5" s="13"/>
    </row>
    <row r="6" spans="1:6" x14ac:dyDescent="0.3">
      <c r="A6" s="15" t="s">
        <v>20</v>
      </c>
      <c r="B6" s="6">
        <v>65295</v>
      </c>
      <c r="C6" s="6">
        <v>283394</v>
      </c>
      <c r="D6" s="6">
        <v>317572</v>
      </c>
      <c r="E6" s="13">
        <f t="shared" ref="E6:F6" si="1">(C6-B6)/B6</f>
        <v>3.340209816984455</v>
      </c>
      <c r="F6" s="13">
        <f t="shared" si="1"/>
        <v>0.12060241218939004</v>
      </c>
    </row>
    <row r="7" spans="1:6" x14ac:dyDescent="0.3">
      <c r="A7" s="15"/>
      <c r="B7" s="2">
        <f>B6/$B$10</f>
        <v>7.3282170305990518E-2</v>
      </c>
      <c r="C7" s="2">
        <f>C6/$C$10</f>
        <v>0.27282187935318475</v>
      </c>
      <c r="D7" s="2">
        <f>D6/$D$10</f>
        <v>0.33975893818110237</v>
      </c>
      <c r="E7" s="13"/>
      <c r="F7" s="13"/>
    </row>
    <row r="8" spans="1:6" x14ac:dyDescent="0.3">
      <c r="A8" s="15" t="s">
        <v>12</v>
      </c>
      <c r="B8" s="6">
        <v>824417</v>
      </c>
      <c r="C8" s="6">
        <v>747356</v>
      </c>
      <c r="D8" s="6">
        <v>610772</v>
      </c>
      <c r="E8" s="13">
        <f t="shared" ref="E8:F8" si="2">(C8-B8)/B8</f>
        <v>-9.3473327211835752E-2</v>
      </c>
      <c r="F8" s="13">
        <f t="shared" si="2"/>
        <v>-0.18275627679445941</v>
      </c>
    </row>
    <row r="9" spans="1:6" x14ac:dyDescent="0.3">
      <c r="A9" s="15"/>
      <c r="B9" s="2">
        <f>B8/$B$10</f>
        <v>0.92526329729923862</v>
      </c>
      <c r="C9" s="2">
        <f>C8/$C$10</f>
        <v>0.71947560098618435</v>
      </c>
      <c r="D9" s="2">
        <f>D8/$D$10</f>
        <v>0.65344314420272642</v>
      </c>
      <c r="E9" s="13"/>
      <c r="F9" s="13"/>
    </row>
    <row r="10" spans="1:6" x14ac:dyDescent="0.3">
      <c r="A10" s="15" t="s">
        <v>6</v>
      </c>
      <c r="B10" s="6">
        <f>SUM(+B2+B4+B6+B8)</f>
        <v>891008</v>
      </c>
      <c r="C10" s="6">
        <f t="shared" ref="C10:D10" si="3">SUM(+C2+C4+C6+C8)</f>
        <v>1038751</v>
      </c>
      <c r="D10" s="6">
        <f t="shared" si="3"/>
        <v>934698</v>
      </c>
      <c r="E10" s="13">
        <f t="shared" ref="E10:F10" si="4">(C10-B10)/B10</f>
        <v>0.16581557067950006</v>
      </c>
      <c r="F10" s="13">
        <f t="shared" si="4"/>
        <v>-0.10017126337303164</v>
      </c>
    </row>
    <row r="11" spans="1:6" x14ac:dyDescent="0.3">
      <c r="A11" s="15"/>
      <c r="B11" s="2">
        <v>1</v>
      </c>
      <c r="C11" s="2">
        <v>1</v>
      </c>
      <c r="D11" s="2">
        <v>1</v>
      </c>
      <c r="E11" s="13"/>
      <c r="F11" s="13"/>
    </row>
  </sheetData>
  <mergeCells count="15">
    <mergeCell ref="A10:A11"/>
    <mergeCell ref="E10:E11"/>
    <mergeCell ref="F10:F11"/>
    <mergeCell ref="A6:A7"/>
    <mergeCell ref="E6:E7"/>
    <mergeCell ref="F6:F7"/>
    <mergeCell ref="A8:A9"/>
    <mergeCell ref="E8:E9"/>
    <mergeCell ref="F8:F9"/>
    <mergeCell ref="A2:A3"/>
    <mergeCell ref="E2:E3"/>
    <mergeCell ref="F2:F3"/>
    <mergeCell ref="A4:A5"/>
    <mergeCell ref="E4:E5"/>
    <mergeCell ref="F4:F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112年至114年台東縣公路客運年總運量統計表</vt:lpstr>
      <vt:lpstr>112年至114年臺東縣公路客運持卡身分人數百分比表</vt:lpstr>
      <vt:lpstr>112年至114年臺東縣公路客運定期票人數百分比表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添順 張</dc:creator>
  <cp:lastModifiedBy>添順 張</cp:lastModifiedBy>
  <cp:lastPrinted>2026-03-20T08:51:57Z</cp:lastPrinted>
  <dcterms:created xsi:type="dcterms:W3CDTF">2026-03-20T07:12:26Z</dcterms:created>
  <dcterms:modified xsi:type="dcterms:W3CDTF">2026-04-18T14:43:02Z</dcterms:modified>
</cp:coreProperties>
</file>