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115_Midterm-Report\添順\"/>
    </mc:Choice>
  </mc:AlternateContent>
  <xr:revisionPtr revIDLastSave="0" documentId="13_ncr:1_{F4102DC8-02C8-416B-BAB8-49AB0D0C52ED}" xr6:coauthVersionLast="47" xr6:coauthVersionMax="47" xr10:uidLastSave="{00000000-0000-0000-0000-000000000000}"/>
  <bookViews>
    <workbookView xWindow="-120" yWindow="-120" windowWidth="29040" windowHeight="15720" firstSheet="1" activeTab="2" xr2:uid="{D696006E-6B09-4A1F-B765-609C9920021E}"/>
  </bookViews>
  <sheets>
    <sheet name="112年至114年台東縣公路客運年總運量統計表" sheetId="1" r:id="rId1"/>
    <sheet name="112年至114年臺東縣公路客運持卡身分人數百分比表" sheetId="2" r:id="rId2"/>
    <sheet name="112年至114年臺東縣公路客運定期票人數百分比表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3" l="1"/>
  <c r="C3" i="3" s="1"/>
  <c r="D10" i="3"/>
  <c r="D9" i="3" s="1"/>
  <c r="B10" i="3"/>
  <c r="B7" i="3"/>
  <c r="F8" i="3"/>
  <c r="E8" i="3"/>
  <c r="F6" i="3"/>
  <c r="E6" i="3"/>
  <c r="F4" i="3"/>
  <c r="E4" i="3"/>
  <c r="F4" i="2"/>
  <c r="F6" i="2"/>
  <c r="F8" i="2"/>
  <c r="F10" i="2"/>
  <c r="F12" i="2"/>
  <c r="F14" i="2"/>
  <c r="F2" i="2"/>
  <c r="E4" i="2"/>
  <c r="E6" i="2"/>
  <c r="E8" i="2"/>
  <c r="E10" i="2"/>
  <c r="E12" i="2"/>
  <c r="E14" i="2"/>
  <c r="E2" i="2"/>
  <c r="D14" i="2"/>
  <c r="D3" i="2" s="1"/>
  <c r="C14" i="2"/>
  <c r="B14" i="2"/>
  <c r="B7" i="2" s="1"/>
  <c r="C13" i="2"/>
  <c r="G2" i="1"/>
  <c r="G3" i="1"/>
  <c r="G4" i="1"/>
  <c r="G5" i="1"/>
  <c r="G6" i="1"/>
  <c r="G7" i="1"/>
  <c r="E3" i="1"/>
  <c r="E4" i="1"/>
  <c r="E5" i="1"/>
  <c r="E6" i="1"/>
  <c r="E7" i="1"/>
  <c r="E2" i="1"/>
  <c r="C3" i="1"/>
  <c r="C4" i="1"/>
  <c r="C5" i="1"/>
  <c r="C6" i="1"/>
  <c r="C7" i="1"/>
  <c r="C2" i="1"/>
  <c r="D3" i="3" l="1"/>
  <c r="D7" i="3"/>
  <c r="C9" i="3"/>
  <c r="C7" i="3"/>
  <c r="B9" i="3"/>
  <c r="B3" i="3"/>
  <c r="C5" i="3"/>
  <c r="D5" i="3"/>
  <c r="E10" i="3"/>
  <c r="F10" i="3"/>
  <c r="B5" i="3"/>
  <c r="B5" i="2"/>
  <c r="D5" i="2"/>
  <c r="D7" i="2"/>
  <c r="D9" i="2"/>
  <c r="B3" i="2"/>
  <c r="D11" i="2"/>
  <c r="D13" i="2"/>
  <c r="B9" i="2"/>
  <c r="B11" i="2"/>
  <c r="B13" i="2"/>
  <c r="C3" i="2"/>
  <c r="C5" i="2"/>
  <c r="C7" i="2"/>
  <c r="C9" i="2"/>
  <c r="C11" i="2"/>
</calcChain>
</file>

<file path=xl/sharedStrings.xml><?xml version="1.0" encoding="utf-8"?>
<sst xmlns="http://schemas.openxmlformats.org/spreadsheetml/2006/main" count="25" uniqueCount="22">
  <si>
    <t>海岸線</t>
  </si>
  <si>
    <t>縱谷線</t>
  </si>
  <si>
    <t>山海線</t>
  </si>
  <si>
    <t>知本線</t>
  </si>
  <si>
    <t>南迴線</t>
  </si>
  <si>
    <t>總計</t>
  </si>
  <si>
    <t xml:space="preserve">         年分
路線</t>
    <phoneticPr fontId="2" type="noConversion"/>
  </si>
  <si>
    <t>總計</t>
    <phoneticPr fontId="2" type="noConversion"/>
  </si>
  <si>
    <t>113年成長率</t>
    <phoneticPr fontId="2" type="noConversion"/>
  </si>
  <si>
    <t>114年成長率</t>
    <phoneticPr fontId="2" type="noConversion"/>
  </si>
  <si>
    <t>敬老優待</t>
    <phoneticPr fontId="2" type="noConversion"/>
  </si>
  <si>
    <t>愛心優待</t>
    <phoneticPr fontId="2" type="noConversion"/>
  </si>
  <si>
    <t>其他優待</t>
    <phoneticPr fontId="2" type="noConversion"/>
  </si>
  <si>
    <t>非定期票</t>
    <phoneticPr fontId="2" type="noConversion"/>
  </si>
  <si>
    <t xml:space="preserve">                       年份
定期票</t>
    <phoneticPr fontId="2" type="noConversion"/>
  </si>
  <si>
    <t>普通
(含TPASS)</t>
    <phoneticPr fontId="2" type="noConversion"/>
  </si>
  <si>
    <t>學生</t>
    <phoneticPr fontId="2" type="noConversion"/>
  </si>
  <si>
    <t xml:space="preserve">             年份
持卡身分</t>
    <phoneticPr fontId="2" type="noConversion"/>
  </si>
  <si>
    <t>無法區別</t>
    <phoneticPr fontId="2" type="noConversion"/>
  </si>
  <si>
    <t>臺東縣199</t>
    <phoneticPr fontId="2" type="noConversion"/>
  </si>
  <si>
    <t>花蓮縣399</t>
    <phoneticPr fontId="2" type="noConversion"/>
  </si>
  <si>
    <t>花蓮縣199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</si>
</sst>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000"/>
    <numFmt numFmtId="177" formatCode="0.0%"/>
    <numFmt numFmtId="178" formatCode="_-* #,##0_-;\-* #,##0_-;_-* &quot;-&quot;??_-;_-@_-"/>
    <numFmt numFmtId="179" formatCode="#,##0_ "/>
  </numFmts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176" fontId="3" fillId="0" borderId="2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177" fontId="3" fillId="0" borderId="1" xfId="0" applyNumberFormat="1" applyFont="1" applyBorder="1">
      <alignment vertical="center"/>
    </xf>
    <xf numFmtId="177" fontId="3" fillId="0" borderId="1" xfId="1" applyNumberFormat="1" applyFont="1" applyBorder="1">
      <alignment vertical="center"/>
    </xf>
    <xf numFmtId="177" fontId="0" fillId="0" borderId="0" xfId="1" applyNumberFormat="1" applyFont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177" fontId="3" fillId="0" borderId="1" xfId="1" applyNumberFormat="1" applyFont="1" applyBorder="1" applyAlignment="1">
      <alignment horizontal="center" vertical="center"/>
    </xf>
    <xf numFmtId="178" fontId="3" fillId="0" borderId="1" xfId="2" applyNumberFormat="1" applyFont="1" applyBorder="1">
      <alignment vertical="center"/>
    </xf>
    <xf numFmtId="179" fontId="3" fillId="0" borderId="1" xfId="2" applyNumberFormat="1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3" fillId="0" borderId="1" xfId="1" applyNumberFormat="1" applyFont="1" applyBorder="1" applyAlignment="1">
      <alignment horizontal="right" vertical="center"/>
    </xf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</cellXfs>
  <cellStyles count="3">
    <cellStyle name="一般" xfId="0" builtinId="0"/>
    <cellStyle name="千分位" xfId="2" builtinId="3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495D3-7844-4C62-A36B-CC5FFA174E31}">
  <dimension ref="A1:G7"/>
  <sheetViews>
    <sheetView zoomScaleNormal="100" workbookViewId="0">
      <selection activeCell="L10" sqref="L10"/>
    </sheetView>
  </sheetViews>
  <sheetFormatPr defaultRowHeight="16.5" x14ac:dyDescent="0.25"/>
  <cols>
    <col min="1" max="1" width="10.375" customWidth="1"/>
    <col min="2" max="7" width="13.375" customWidth="1"/>
  </cols>
  <sheetData>
    <row r="1" spans="1:7" ht="31.9" customHeight="1" x14ac:dyDescent="0.25">
      <c r="A1" s="1" t="s">
        <v>6</v>
      </c>
      <c r="B1" s="11">
        <v>112</v>
      </c>
      <c r="C1" s="11"/>
      <c r="D1" s="11">
        <v>113</v>
      </c>
      <c r="E1" s="11"/>
      <c r="F1" s="11">
        <v>114</v>
      </c>
      <c r="G1" s="11"/>
    </row>
    <row r="2" spans="1:7" ht="31.9" customHeight="1" x14ac:dyDescent="0.25">
      <c r="A2" s="3" t="s">
        <v>0</v>
      </c>
      <c r="B2" s="3">
        <v>334882</v>
      </c>
      <c r="C2" s="4">
        <f>B2/B$7</f>
        <v>0.37904061011953605</v>
      </c>
      <c r="D2" s="3">
        <v>450501</v>
      </c>
      <c r="E2" s="5">
        <f>D2/D$7</f>
        <v>0.43649391041478941</v>
      </c>
      <c r="F2" s="3">
        <v>350424</v>
      </c>
      <c r="G2" s="4">
        <f>F2/F$7</f>
        <v>0.37803532187438305</v>
      </c>
    </row>
    <row r="3" spans="1:7" ht="31.9" customHeight="1" x14ac:dyDescent="0.25">
      <c r="A3" s="3" t="s">
        <v>1</v>
      </c>
      <c r="B3" s="3">
        <v>202170</v>
      </c>
      <c r="C3" s="4">
        <f t="shared" ref="C3:C7" si="0">B3/B$7</f>
        <v>0.22882878192278655</v>
      </c>
      <c r="D3" s="3">
        <v>205371</v>
      </c>
      <c r="E3" s="5">
        <f t="shared" ref="E3:E7" si="1">D3/D$7</f>
        <v>0.19898555358544312</v>
      </c>
      <c r="F3" s="3">
        <v>201710</v>
      </c>
      <c r="G3" s="4">
        <f t="shared" ref="G3:G7" si="2">F3/F$7</f>
        <v>0.21760354534872556</v>
      </c>
    </row>
    <row r="4" spans="1:7" ht="31.9" customHeight="1" x14ac:dyDescent="0.25">
      <c r="A4" s="3" t="s">
        <v>2</v>
      </c>
      <c r="B4" s="3">
        <v>174174</v>
      </c>
      <c r="C4" s="4">
        <f t="shared" si="0"/>
        <v>0.19714113994469717</v>
      </c>
      <c r="D4" s="3">
        <v>182405</v>
      </c>
      <c r="E4" s="5">
        <f t="shared" si="1"/>
        <v>0.17673361819221192</v>
      </c>
      <c r="F4" s="3">
        <v>176572</v>
      </c>
      <c r="G4" s="4">
        <f t="shared" si="2"/>
        <v>0.19048482082849225</v>
      </c>
    </row>
    <row r="5" spans="1:7" ht="31.9" customHeight="1" x14ac:dyDescent="0.25">
      <c r="A5" s="3" t="s">
        <v>4</v>
      </c>
      <c r="B5" s="3">
        <v>135611</v>
      </c>
      <c r="C5" s="4">
        <f t="shared" si="0"/>
        <v>0.15349309959603802</v>
      </c>
      <c r="D5" s="3">
        <v>148423</v>
      </c>
      <c r="E5" s="5">
        <f t="shared" si="1"/>
        <v>0.14380819502175199</v>
      </c>
      <c r="F5" s="3">
        <v>160593</v>
      </c>
      <c r="G5" s="4">
        <f t="shared" si="2"/>
        <v>0.1732467708997466</v>
      </c>
    </row>
    <row r="6" spans="1:7" ht="31.9" customHeight="1" x14ac:dyDescent="0.25">
      <c r="A6" s="3" t="s">
        <v>3</v>
      </c>
      <c r="B6" s="3">
        <v>36662</v>
      </c>
      <c r="C6" s="4">
        <f t="shared" si="0"/>
        <v>4.1496368416942181E-2</v>
      </c>
      <c r="D6" s="3">
        <v>45390</v>
      </c>
      <c r="E6" s="5">
        <f t="shared" si="1"/>
        <v>4.3978722785803566E-2</v>
      </c>
      <c r="F6" s="3">
        <v>37662</v>
      </c>
      <c r="G6" s="4">
        <f t="shared" si="2"/>
        <v>4.0629541048652532E-2</v>
      </c>
    </row>
    <row r="7" spans="1:7" ht="31.9" customHeight="1" x14ac:dyDescent="0.25">
      <c r="A7" s="3" t="s">
        <v>5</v>
      </c>
      <c r="B7" s="3">
        <v>883499</v>
      </c>
      <c r="C7" s="4">
        <f t="shared" si="0"/>
        <v>1</v>
      </c>
      <c r="D7" s="3">
        <v>1032090</v>
      </c>
      <c r="E7" s="5">
        <f t="shared" si="1"/>
        <v>1</v>
      </c>
      <c r="F7" s="3">
        <v>926961</v>
      </c>
      <c r="G7" s="4">
        <f t="shared" si="2"/>
        <v>1</v>
      </c>
    </row>
  </sheetData>
  <mergeCells count="3">
    <mergeCell ref="B1:C1"/>
    <mergeCell ref="D1:E1"/>
    <mergeCell ref="F1:G1"/>
  </mergeCells>
  <phoneticPr fontId="2" type="noConversion"/>
  <printOptions heading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3597-EACB-469C-BF7E-B035EB2699ED}">
  <dimension ref="A1:F17"/>
  <sheetViews>
    <sheetView workbookViewId="0">
      <selection activeCell="H24" sqref="G23:H24"/>
    </sheetView>
  </sheetViews>
  <sheetFormatPr defaultRowHeight="16.5" x14ac:dyDescent="0.25"/>
  <cols>
    <col min="1" max="4" width="14.875" customWidth="1"/>
    <col min="5" max="5" width="14.875" style="6" customWidth="1"/>
    <col min="6" max="6" width="14.875" customWidth="1"/>
  </cols>
  <sheetData>
    <row r="1" spans="1:6" ht="31.5" x14ac:dyDescent="0.25">
      <c r="A1" s="7" t="s">
        <v>17</v>
      </c>
      <c r="B1" s="2">
        <v>112</v>
      </c>
      <c r="C1" s="2">
        <v>113</v>
      </c>
      <c r="D1" s="2">
        <v>114</v>
      </c>
      <c r="E1" s="8" t="s">
        <v>8</v>
      </c>
      <c r="F1" s="8" t="s">
        <v>9</v>
      </c>
    </row>
    <row r="2" spans="1:6" x14ac:dyDescent="0.25">
      <c r="A2" s="14" t="s">
        <v>15</v>
      </c>
      <c r="B2" s="9">
        <v>292653</v>
      </c>
      <c r="C2" s="9">
        <v>355606</v>
      </c>
      <c r="D2" s="9">
        <v>295308</v>
      </c>
      <c r="E2" s="12">
        <f>(C2-B2)/B2</f>
        <v>0.21511141180852408</v>
      </c>
      <c r="F2" s="12">
        <f>(D2-C2)/C2</f>
        <v>-0.16956406809783861</v>
      </c>
    </row>
    <row r="3" spans="1:6" x14ac:dyDescent="0.25">
      <c r="A3" s="11"/>
      <c r="B3" s="5">
        <f>B2/$B$14</f>
        <v>0.33124315930182152</v>
      </c>
      <c r="C3" s="5">
        <f>C2/$C$14</f>
        <v>0.34454940945072621</v>
      </c>
      <c r="D3" s="5">
        <f>D2/$D$14</f>
        <v>0.31857650969134621</v>
      </c>
      <c r="E3" s="12"/>
      <c r="F3" s="12"/>
    </row>
    <row r="4" spans="1:6" x14ac:dyDescent="0.25">
      <c r="A4" s="11" t="s">
        <v>10</v>
      </c>
      <c r="B4" s="9">
        <v>348851</v>
      </c>
      <c r="C4" s="9">
        <v>375696</v>
      </c>
      <c r="D4" s="9">
        <v>318058</v>
      </c>
      <c r="E4" s="12">
        <f t="shared" ref="E4" si="0">(C4-B4)/B4</f>
        <v>7.6952624472912498E-2</v>
      </c>
      <c r="F4" s="12">
        <f t="shared" ref="F4" si="1">(D4-C4)/C4</f>
        <v>-0.15341659213832459</v>
      </c>
    </row>
    <row r="5" spans="1:6" x14ac:dyDescent="0.25">
      <c r="A5" s="11"/>
      <c r="B5" s="5">
        <f>B4/$B$14</f>
        <v>0.39485160707595596</v>
      </c>
      <c r="C5" s="5">
        <f>C4/$C$14</f>
        <v>0.36401476615411449</v>
      </c>
      <c r="D5" s="5">
        <f>D4/$D$14</f>
        <v>0.34311907404950154</v>
      </c>
      <c r="E5" s="12"/>
      <c r="F5" s="12"/>
    </row>
    <row r="6" spans="1:6" x14ac:dyDescent="0.25">
      <c r="A6" s="11" t="s">
        <v>16</v>
      </c>
      <c r="B6" s="9">
        <v>194152</v>
      </c>
      <c r="C6" s="9">
        <v>137334</v>
      </c>
      <c r="D6" s="9">
        <v>90906</v>
      </c>
      <c r="E6" s="12">
        <f t="shared" ref="E6" si="2">(C6-B6)/B6</f>
        <v>-0.29264699822819235</v>
      </c>
      <c r="F6" s="12">
        <f t="shared" ref="F6" si="3">(D6-C6)/C6</f>
        <v>-0.33806632006640747</v>
      </c>
    </row>
    <row r="7" spans="1:6" x14ac:dyDescent="0.25">
      <c r="A7" s="11"/>
      <c r="B7" s="5">
        <f>B6/$B$14</f>
        <v>0.2197535028336195</v>
      </c>
      <c r="C7" s="5">
        <f>C6/$C$14</f>
        <v>0.13306397697875186</v>
      </c>
      <c r="D7" s="5">
        <f>D6/$D$14</f>
        <v>9.8068850793075438E-2</v>
      </c>
      <c r="E7" s="12"/>
      <c r="F7" s="12"/>
    </row>
    <row r="8" spans="1:6" x14ac:dyDescent="0.25">
      <c r="A8" s="11" t="s">
        <v>11</v>
      </c>
      <c r="B8" s="9">
        <v>10653</v>
      </c>
      <c r="C8" s="9">
        <v>12784</v>
      </c>
      <c r="D8" s="9">
        <v>12209</v>
      </c>
      <c r="E8" s="12">
        <f t="shared" ref="E8" si="4">(C8-B8)/B8</f>
        <v>0.20003754810851404</v>
      </c>
      <c r="F8" s="12">
        <f t="shared" ref="F8" si="5">(D8-C8)/C8</f>
        <v>-4.4978097622027535E-2</v>
      </c>
    </row>
    <row r="9" spans="1:6" x14ac:dyDescent="0.25">
      <c r="A9" s="11"/>
      <c r="B9" s="5">
        <f>B8/$B$14</f>
        <v>1.205773860525026E-2</v>
      </c>
      <c r="C9" s="5">
        <f>C8/$C$14</f>
        <v>1.2386516679746922E-2</v>
      </c>
      <c r="D9" s="5">
        <f>D8/$D$14</f>
        <v>1.317099640653706E-2</v>
      </c>
      <c r="E9" s="12"/>
      <c r="F9" s="12"/>
    </row>
    <row r="10" spans="1:6" x14ac:dyDescent="0.25">
      <c r="A10" s="11" t="s">
        <v>12</v>
      </c>
      <c r="B10" s="9">
        <v>10162</v>
      </c>
      <c r="C10" s="9">
        <v>6109</v>
      </c>
      <c r="D10" s="9">
        <v>4742</v>
      </c>
      <c r="E10" s="12">
        <f t="shared" ref="E10" si="6">(C10-B10)/B10</f>
        <v>-0.39883881125762644</v>
      </c>
      <c r="F10" s="12">
        <f t="shared" ref="F10" si="7">(D10-C10)/C10</f>
        <v>-0.22376821083647078</v>
      </c>
    </row>
    <row r="11" spans="1:6" x14ac:dyDescent="0.25">
      <c r="A11" s="11"/>
      <c r="B11" s="5">
        <f>B10/$B$14</f>
        <v>1.150199377701616E-2</v>
      </c>
      <c r="C11" s="5">
        <f>C10/$C$14</f>
        <v>5.9190574465405148E-3</v>
      </c>
      <c r="D11" s="5">
        <f>D10/$D$14</f>
        <v>5.115641326873515E-3</v>
      </c>
      <c r="E11" s="12"/>
      <c r="F11" s="12"/>
    </row>
    <row r="12" spans="1:6" x14ac:dyDescent="0.25">
      <c r="A12" s="11" t="s">
        <v>18</v>
      </c>
      <c r="B12" s="9">
        <v>27028</v>
      </c>
      <c r="C12" s="9">
        <v>144561</v>
      </c>
      <c r="D12" s="9">
        <v>205738</v>
      </c>
      <c r="E12" s="12">
        <f t="shared" ref="E12" si="8">(C12-B12)/B12</f>
        <v>4.3485644516797395</v>
      </c>
      <c r="F12" s="12">
        <f t="shared" ref="F12" si="9">(D12-C12)/C12</f>
        <v>0.42319159386003141</v>
      </c>
    </row>
    <row r="13" spans="1:6" x14ac:dyDescent="0.25">
      <c r="A13" s="11"/>
      <c r="B13" s="5">
        <f>B12/$B$14</f>
        <v>3.0591998406336623E-2</v>
      </c>
      <c r="C13" s="5">
        <f>C12/$C$14</f>
        <v>0.14006627329012006</v>
      </c>
      <c r="D13" s="5">
        <f>D12/$D$14</f>
        <v>0.2219489277326662</v>
      </c>
      <c r="E13" s="12"/>
      <c r="F13" s="12"/>
    </row>
    <row r="14" spans="1:6" x14ac:dyDescent="0.25">
      <c r="A14" s="11" t="s">
        <v>7</v>
      </c>
      <c r="B14" s="9">
        <f>SUM(+B2+B4+B6+B8+B10+B12)</f>
        <v>883499</v>
      </c>
      <c r="C14" s="9">
        <f>SUM(+C2+C4+C6+C8+C10+C12)</f>
        <v>1032090</v>
      </c>
      <c r="D14" s="9">
        <f>SUM(+D2+D4+D6+D8+D10+D12)</f>
        <v>926961</v>
      </c>
      <c r="E14" s="12">
        <f t="shared" ref="E14" si="10">(C14-B14)/B14</f>
        <v>0.16818468385363197</v>
      </c>
      <c r="F14" s="12">
        <f t="shared" ref="F14" si="11">(D14-C14)/C14</f>
        <v>-0.10186030288056275</v>
      </c>
    </row>
    <row r="15" spans="1:6" x14ac:dyDescent="0.25">
      <c r="A15" s="11"/>
      <c r="B15" s="5">
        <v>1</v>
      </c>
      <c r="C15" s="5">
        <v>1</v>
      </c>
      <c r="D15" s="5">
        <v>1</v>
      </c>
      <c r="E15" s="12"/>
      <c r="F15" s="12"/>
    </row>
    <row r="16" spans="1:6" ht="19.899999999999999" customHeight="1" x14ac:dyDescent="0.25">
      <c r="A16" s="13"/>
    </row>
    <row r="17" spans="1:1" ht="19.899999999999999" customHeight="1" x14ac:dyDescent="0.25">
      <c r="A17" s="13"/>
    </row>
  </sheetData>
  <mergeCells count="22">
    <mergeCell ref="A16:A17"/>
    <mergeCell ref="E2:E3"/>
    <mergeCell ref="E4:E5"/>
    <mergeCell ref="E6:E7"/>
    <mergeCell ref="E8:E9"/>
    <mergeCell ref="E10:E11"/>
    <mergeCell ref="A2:A3"/>
    <mergeCell ref="A4:A5"/>
    <mergeCell ref="A6:A7"/>
    <mergeCell ref="A8:A9"/>
    <mergeCell ref="E12:E13"/>
    <mergeCell ref="E14:E15"/>
    <mergeCell ref="A10:A11"/>
    <mergeCell ref="A12:A13"/>
    <mergeCell ref="A14:A15"/>
    <mergeCell ref="F12:F13"/>
    <mergeCell ref="F14:F15"/>
    <mergeCell ref="F2:F3"/>
    <mergeCell ref="F4:F5"/>
    <mergeCell ref="F6:F7"/>
    <mergeCell ref="F8:F9"/>
    <mergeCell ref="F10:F1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B3490-4979-4C12-9191-BD96B78957B8}">
  <dimension ref="A1:F11"/>
  <sheetViews>
    <sheetView tabSelected="1" workbookViewId="0">
      <selection activeCell="C14" sqref="C14"/>
    </sheetView>
  </sheetViews>
  <sheetFormatPr defaultRowHeight="16.5" x14ac:dyDescent="0.25"/>
  <cols>
    <col min="1" max="1" width="19.625" customWidth="1"/>
    <col min="2" max="6" width="14.75" customWidth="1"/>
  </cols>
  <sheetData>
    <row r="1" spans="1:6" ht="31.5" x14ac:dyDescent="0.25">
      <c r="A1" s="7" t="s">
        <v>14</v>
      </c>
      <c r="B1" s="2">
        <v>112</v>
      </c>
      <c r="C1" s="2">
        <v>113</v>
      </c>
      <c r="D1" s="2">
        <v>114</v>
      </c>
      <c r="E1" s="8" t="s">
        <v>8</v>
      </c>
      <c r="F1" s="8" t="s">
        <v>9</v>
      </c>
    </row>
    <row r="2" spans="1:6" x14ac:dyDescent="0.25">
      <c r="A2" s="14" t="s">
        <v>21</v>
      </c>
      <c r="B2" s="10">
        <v>0</v>
      </c>
      <c r="C2" s="10">
        <v>0</v>
      </c>
      <c r="D2" s="9">
        <v>1</v>
      </c>
      <c r="E2" s="12">
        <v>0</v>
      </c>
      <c r="F2" s="12">
        <v>0</v>
      </c>
    </row>
    <row r="3" spans="1:6" x14ac:dyDescent="0.25">
      <c r="A3" s="11"/>
      <c r="B3" s="5">
        <f>B2/$B$10</f>
        <v>0</v>
      </c>
      <c r="C3" s="5">
        <f>C2/$C$10</f>
        <v>0</v>
      </c>
      <c r="D3" s="5">
        <f>D2/$D$10</f>
        <v>1.0787940377211124E-6</v>
      </c>
      <c r="E3" s="12"/>
      <c r="F3" s="12"/>
    </row>
    <row r="4" spans="1:6" x14ac:dyDescent="0.25">
      <c r="A4" s="14" t="s">
        <v>20</v>
      </c>
      <c r="B4" s="9">
        <v>1296</v>
      </c>
      <c r="C4" s="9">
        <v>8001</v>
      </c>
      <c r="D4" s="9">
        <v>6353</v>
      </c>
      <c r="E4" s="12">
        <f t="shared" ref="E4:F4" si="0">(C4-B4)/B4</f>
        <v>5.1736111111111107</v>
      </c>
      <c r="F4" s="12">
        <f t="shared" si="0"/>
        <v>-0.2059742532183477</v>
      </c>
    </row>
    <row r="5" spans="1:6" x14ac:dyDescent="0.25">
      <c r="A5" s="11"/>
      <c r="B5" s="5">
        <f>B4/$B$10</f>
        <v>1.4668946993714764E-3</v>
      </c>
      <c r="C5" s="5">
        <f>C4/$C$10</f>
        <v>7.7522309100950502E-3</v>
      </c>
      <c r="D5" s="5">
        <f>D4/$D$10</f>
        <v>6.8535785216422267E-3</v>
      </c>
      <c r="E5" s="12"/>
      <c r="F5" s="12"/>
    </row>
    <row r="6" spans="1:6" x14ac:dyDescent="0.25">
      <c r="A6" s="11" t="s">
        <v>19</v>
      </c>
      <c r="B6" s="9">
        <v>63991</v>
      </c>
      <c r="C6" s="9">
        <v>279187</v>
      </c>
      <c r="D6" s="9">
        <v>312150</v>
      </c>
      <c r="E6" s="12">
        <f t="shared" ref="E6:F6" si="1">(C6-B6)/B6</f>
        <v>3.3629104092763047</v>
      </c>
      <c r="F6" s="12">
        <f t="shared" si="1"/>
        <v>0.11806781834397734</v>
      </c>
    </row>
    <row r="7" spans="1:6" x14ac:dyDescent="0.25">
      <c r="A7" s="11"/>
      <c r="B7" s="5">
        <f>B6/$B$10</f>
        <v>7.2429057644660608E-2</v>
      </c>
      <c r="C7" s="5">
        <f>C6/$C$10</f>
        <v>0.27050644808107821</v>
      </c>
      <c r="D7" s="5">
        <f>D6/$D$10</f>
        <v>0.33674555887464519</v>
      </c>
      <c r="E7" s="12"/>
      <c r="F7" s="12"/>
    </row>
    <row r="8" spans="1:6" x14ac:dyDescent="0.25">
      <c r="A8" s="11" t="s">
        <v>13</v>
      </c>
      <c r="B8" s="9">
        <v>818212</v>
      </c>
      <c r="C8" s="9">
        <v>744902</v>
      </c>
      <c r="D8" s="9">
        <v>608457</v>
      </c>
      <c r="E8" s="12">
        <f t="shared" ref="E8:F8" si="2">(C8-B8)/B8</f>
        <v>-8.9597805947602818E-2</v>
      </c>
      <c r="F8" s="12">
        <f t="shared" si="2"/>
        <v>-0.18317174608203496</v>
      </c>
    </row>
    <row r="9" spans="1:6" x14ac:dyDescent="0.25">
      <c r="A9" s="11"/>
      <c r="B9" s="5">
        <f>B8/$B$10</f>
        <v>0.92610404765596788</v>
      </c>
      <c r="C9" s="5">
        <f>C8/$C$10</f>
        <v>0.72174132100882671</v>
      </c>
      <c r="D9" s="5">
        <f>D8/$D$10</f>
        <v>0.65639978380967479</v>
      </c>
      <c r="E9" s="12"/>
      <c r="F9" s="12"/>
    </row>
    <row r="10" spans="1:6" x14ac:dyDescent="0.25">
      <c r="A10" s="11" t="s">
        <v>7</v>
      </c>
      <c r="B10" s="9">
        <f>SUM(+B2+B4+B6+B8)</f>
        <v>883499</v>
      </c>
      <c r="C10" s="9">
        <f t="shared" ref="C10:D10" si="3">SUM(+C2+C4+C6+C8)</f>
        <v>1032090</v>
      </c>
      <c r="D10" s="9">
        <f t="shared" si="3"/>
        <v>926961</v>
      </c>
      <c r="E10" s="12">
        <f t="shared" ref="E10:F10" si="4">(C10-B10)/B10</f>
        <v>0.16818468385363197</v>
      </c>
      <c r="F10" s="12">
        <f t="shared" si="4"/>
        <v>-0.10186030288056275</v>
      </c>
    </row>
    <row r="11" spans="1:6" x14ac:dyDescent="0.25">
      <c r="A11" s="11"/>
      <c r="B11" s="5">
        <v>1</v>
      </c>
      <c r="C11" s="5">
        <v>1</v>
      </c>
      <c r="D11" s="5">
        <v>1</v>
      </c>
      <c r="E11" s="12"/>
      <c r="F11" s="12"/>
    </row>
  </sheetData>
  <mergeCells count="15">
    <mergeCell ref="A2:A3"/>
    <mergeCell ref="E2:E3"/>
    <mergeCell ref="F2:F3"/>
    <mergeCell ref="A4:A5"/>
    <mergeCell ref="E4:E5"/>
    <mergeCell ref="F4:F5"/>
    <mergeCell ref="A10:A11"/>
    <mergeCell ref="E10:E11"/>
    <mergeCell ref="F10:F11"/>
    <mergeCell ref="A6:A7"/>
    <mergeCell ref="E6:E7"/>
    <mergeCell ref="F6:F7"/>
    <mergeCell ref="A8:A9"/>
    <mergeCell ref="E8:E9"/>
    <mergeCell ref="F8:F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112年至114年台東縣公路客運年總運量統計表</vt:lpstr>
      <vt:lpstr>112年至114年臺東縣公路客運持卡身分人數百分比表</vt:lpstr>
      <vt:lpstr>112年至114年臺東縣公路客運定期票人數百分比表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添順 張</dc:creator>
  <cp:lastModifiedBy>Yi-Xuan Xie</cp:lastModifiedBy>
  <cp:lastPrinted>2026-03-20T08:51:57Z</cp:lastPrinted>
  <dcterms:created xsi:type="dcterms:W3CDTF">2026-03-20T07:12:26Z</dcterms:created>
  <dcterms:modified xsi:type="dcterms:W3CDTF">2026-04-01T13:09:25Z</dcterms:modified>
</cp:coreProperties>
</file>