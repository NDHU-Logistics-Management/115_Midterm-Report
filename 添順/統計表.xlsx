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da5f600723a9/桌面/運籌計畫/huaTTT_bus_data_23to25/huaTTT_bus_data_23to25/"/>
    </mc:Choice>
  </mc:AlternateContent>
  <xr:revisionPtr revIDLastSave="197" documentId="8_{978E527D-C310-440A-B90D-AEA721DE961C}" xr6:coauthVersionLast="47" xr6:coauthVersionMax="47" xr10:uidLastSave="{0A3973D8-1681-4FF6-BD07-C9F9FC126F85}"/>
  <bookViews>
    <workbookView xWindow="-180" yWindow="0" windowWidth="12288" windowHeight="13776" firstSheet="1" activeTab="1" xr2:uid="{D696006E-6B09-4A1F-B765-609C9920021E}"/>
  </bookViews>
  <sheets>
    <sheet name="112年至114年台東縣公路客運年總運量統計表" sheetId="1" r:id="rId1"/>
    <sheet name="112年至114年臺東縣公路客運種人數及百分比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6" i="2"/>
  <c r="E8" i="2"/>
  <c r="E10" i="2"/>
  <c r="E12" i="2"/>
  <c r="E14" i="2"/>
  <c r="E16" i="2"/>
  <c r="E2" i="2"/>
  <c r="D15" i="2"/>
  <c r="D13" i="2"/>
  <c r="D11" i="2"/>
  <c r="D9" i="2"/>
  <c r="D7" i="2"/>
  <c r="D5" i="2"/>
  <c r="D3" i="2"/>
  <c r="C15" i="2"/>
  <c r="C13" i="2"/>
  <c r="C11" i="2"/>
  <c r="C9" i="2"/>
  <c r="C7" i="2"/>
  <c r="C5" i="2"/>
  <c r="C3" i="2"/>
  <c r="B15" i="2"/>
  <c r="B13" i="2"/>
  <c r="B11" i="2"/>
  <c r="B9" i="2"/>
  <c r="B7" i="2"/>
  <c r="B5" i="2"/>
  <c r="B3" i="2"/>
  <c r="C16" i="2"/>
  <c r="D16" i="2"/>
  <c r="B16" i="2"/>
  <c r="G2" i="1"/>
  <c r="G3" i="1"/>
  <c r="G4" i="1"/>
  <c r="G5" i="1"/>
  <c r="G6" i="1"/>
  <c r="G7" i="1"/>
  <c r="E3" i="1"/>
  <c r="E4" i="1"/>
  <c r="E5" i="1"/>
  <c r="E6" i="1"/>
  <c r="E7" i="1"/>
  <c r="E2" i="1"/>
  <c r="C3" i="1"/>
  <c r="C4" i="1"/>
  <c r="C5" i="1"/>
  <c r="C6" i="1"/>
  <c r="C7" i="1"/>
  <c r="C2" i="1"/>
</calcChain>
</file>

<file path=xl/sharedStrings.xml><?xml version="1.0" encoding="utf-8"?>
<sst xmlns="http://schemas.openxmlformats.org/spreadsheetml/2006/main" count="17" uniqueCount="17">
  <si>
    <t>海岸線</t>
  </si>
  <si>
    <t>縱谷線</t>
  </si>
  <si>
    <t>山海線</t>
  </si>
  <si>
    <t>知本線</t>
  </si>
  <si>
    <t>南迴線</t>
  </si>
  <si>
    <t>總計</t>
  </si>
  <si>
    <t xml:space="preserve">         年分
路線</t>
    <phoneticPr fontId="2" type="noConversion"/>
  </si>
  <si>
    <t xml:space="preserve">             年份
票種</t>
    <phoneticPr fontId="2" type="noConversion"/>
  </si>
  <si>
    <t>成長</t>
    <phoneticPr fontId="2" type="noConversion"/>
  </si>
  <si>
    <t>TPASS月票</t>
    <phoneticPr fontId="2" type="noConversion"/>
  </si>
  <si>
    <t>普通票</t>
    <phoneticPr fontId="2" type="noConversion"/>
  </si>
  <si>
    <t>敬老票</t>
    <phoneticPr fontId="2" type="noConversion"/>
  </si>
  <si>
    <t>學生票</t>
    <phoneticPr fontId="2" type="noConversion"/>
  </si>
  <si>
    <t>愛心票</t>
    <phoneticPr fontId="2" type="noConversion"/>
  </si>
  <si>
    <t>其他優待票</t>
    <phoneticPr fontId="2" type="noConversion"/>
  </si>
  <si>
    <t>無法辨識</t>
    <phoneticPr fontId="2" type="noConversion"/>
  </si>
  <si>
    <t>總計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</si>
</sst>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00"/>
    <numFmt numFmtId="177" formatCode="0.0%"/>
    <numFmt numFmtId="185" formatCode="_-* #,##0_-;\-* #,##0_-;_-* &quot;-&quot;??_-;_-@_-"/>
  </numFmts>
  <fonts count="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76" fontId="3" fillId="0" borderId="2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3" fillId="0" borderId="1" xfId="0" applyNumberFormat="1" applyFont="1" applyBorder="1">
      <alignment vertical="center"/>
    </xf>
    <xf numFmtId="177" fontId="3" fillId="0" borderId="1" xfId="1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177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177" fontId="3" fillId="0" borderId="1" xfId="1" applyNumberFormat="1" applyFont="1" applyBorder="1" applyAlignment="1">
      <alignment horizontal="center" vertical="center"/>
    </xf>
    <xf numFmtId="185" fontId="3" fillId="0" borderId="1" xfId="2" applyNumberFormat="1" applyFont="1" applyBorder="1">
      <alignment vertical="center"/>
    </xf>
    <xf numFmtId="177" fontId="3" fillId="0" borderId="1" xfId="1" applyNumberFormat="1" applyFont="1" applyBorder="1" applyAlignment="1">
      <alignment horizontal="right"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95D3-7844-4C62-A36B-CC5FFA174E31}">
  <dimension ref="A1:G7"/>
  <sheetViews>
    <sheetView zoomScaleNormal="100" workbookViewId="0">
      <selection activeCell="F21" sqref="F21"/>
    </sheetView>
  </sheetViews>
  <sheetFormatPr defaultRowHeight="16.2" x14ac:dyDescent="0.3"/>
  <cols>
    <col min="1" max="1" width="10.33203125" customWidth="1"/>
    <col min="2" max="7" width="13.33203125" customWidth="1"/>
  </cols>
  <sheetData>
    <row r="1" spans="1:7" ht="31.8" customHeight="1" x14ac:dyDescent="0.3">
      <c r="A1" s="1" t="s">
        <v>6</v>
      </c>
      <c r="B1" s="6">
        <v>112</v>
      </c>
      <c r="C1" s="6"/>
      <c r="D1" s="6">
        <v>113</v>
      </c>
      <c r="E1" s="6"/>
      <c r="F1" s="6">
        <v>114</v>
      </c>
      <c r="G1" s="6"/>
    </row>
    <row r="2" spans="1:7" ht="31.8" customHeight="1" x14ac:dyDescent="0.3">
      <c r="A2" s="3" t="s">
        <v>0</v>
      </c>
      <c r="B2" s="3">
        <v>334882</v>
      </c>
      <c r="C2" s="4">
        <f>B2/B$7</f>
        <v>0.37904061011953605</v>
      </c>
      <c r="D2" s="3">
        <v>450501</v>
      </c>
      <c r="E2" s="5">
        <f>D2/D$7</f>
        <v>0.43649391041478941</v>
      </c>
      <c r="F2" s="3">
        <v>350424</v>
      </c>
      <c r="G2" s="4">
        <f>F2/F$7</f>
        <v>0.37803532187438305</v>
      </c>
    </row>
    <row r="3" spans="1:7" ht="31.8" customHeight="1" x14ac:dyDescent="0.3">
      <c r="A3" s="3" t="s">
        <v>1</v>
      </c>
      <c r="B3" s="3">
        <v>202170</v>
      </c>
      <c r="C3" s="4">
        <f t="shared" ref="C3:C7" si="0">B3/B$7</f>
        <v>0.22882878192278655</v>
      </c>
      <c r="D3" s="3">
        <v>205371</v>
      </c>
      <c r="E3" s="5">
        <f t="shared" ref="E3:E7" si="1">D3/D$7</f>
        <v>0.19898555358544312</v>
      </c>
      <c r="F3" s="3">
        <v>201710</v>
      </c>
      <c r="G3" s="4">
        <f t="shared" ref="G3:G7" si="2">F3/F$7</f>
        <v>0.21760354534872556</v>
      </c>
    </row>
    <row r="4" spans="1:7" ht="31.8" customHeight="1" x14ac:dyDescent="0.3">
      <c r="A4" s="3" t="s">
        <v>2</v>
      </c>
      <c r="B4" s="3">
        <v>174174</v>
      </c>
      <c r="C4" s="4">
        <f t="shared" si="0"/>
        <v>0.19714113994469717</v>
      </c>
      <c r="D4" s="3">
        <v>182405</v>
      </c>
      <c r="E4" s="5">
        <f t="shared" si="1"/>
        <v>0.17673361819221192</v>
      </c>
      <c r="F4" s="3">
        <v>176572</v>
      </c>
      <c r="G4" s="4">
        <f t="shared" si="2"/>
        <v>0.19048482082849225</v>
      </c>
    </row>
    <row r="5" spans="1:7" ht="31.8" customHeight="1" x14ac:dyDescent="0.3">
      <c r="A5" s="3" t="s">
        <v>4</v>
      </c>
      <c r="B5" s="3">
        <v>135611</v>
      </c>
      <c r="C5" s="4">
        <f t="shared" si="0"/>
        <v>0.15349309959603802</v>
      </c>
      <c r="D5" s="3">
        <v>148423</v>
      </c>
      <c r="E5" s="5">
        <f t="shared" si="1"/>
        <v>0.14380819502175199</v>
      </c>
      <c r="F5" s="3">
        <v>160593</v>
      </c>
      <c r="G5" s="4">
        <f t="shared" si="2"/>
        <v>0.1732467708997466</v>
      </c>
    </row>
    <row r="6" spans="1:7" ht="31.8" customHeight="1" x14ac:dyDescent="0.3">
      <c r="A6" s="3" t="s">
        <v>3</v>
      </c>
      <c r="B6" s="3">
        <v>36662</v>
      </c>
      <c r="C6" s="4">
        <f t="shared" si="0"/>
        <v>4.1496368416942181E-2</v>
      </c>
      <c r="D6" s="3">
        <v>45390</v>
      </c>
      <c r="E6" s="5">
        <f t="shared" si="1"/>
        <v>4.3978722785803566E-2</v>
      </c>
      <c r="F6" s="3">
        <v>37662</v>
      </c>
      <c r="G6" s="4">
        <f t="shared" si="2"/>
        <v>4.0629541048652532E-2</v>
      </c>
    </row>
    <row r="7" spans="1:7" ht="31.8" customHeight="1" x14ac:dyDescent="0.3">
      <c r="A7" s="3" t="s">
        <v>5</v>
      </c>
      <c r="B7" s="3">
        <v>883499</v>
      </c>
      <c r="C7" s="4">
        <f t="shared" si="0"/>
        <v>1</v>
      </c>
      <c r="D7" s="3">
        <v>1032090</v>
      </c>
      <c r="E7" s="5">
        <f t="shared" si="1"/>
        <v>1</v>
      </c>
      <c r="F7" s="3">
        <v>926961</v>
      </c>
      <c r="G7" s="4">
        <f t="shared" si="2"/>
        <v>1</v>
      </c>
    </row>
  </sheetData>
  <mergeCells count="3">
    <mergeCell ref="B1:C1"/>
    <mergeCell ref="D1:E1"/>
    <mergeCell ref="F1:G1"/>
  </mergeCells>
  <phoneticPr fontId="2" type="noConversion"/>
  <printOptions heading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3597-EACB-469C-BF7E-B035EB2699ED}">
  <dimension ref="A1:E19"/>
  <sheetViews>
    <sheetView tabSelected="1" workbookViewId="0">
      <selection activeCell="F20" sqref="F20"/>
    </sheetView>
  </sheetViews>
  <sheetFormatPr defaultRowHeight="16.2" x14ac:dyDescent="0.3"/>
  <cols>
    <col min="1" max="1" width="15.21875" customWidth="1"/>
    <col min="2" max="2" width="13.33203125" bestFit="1" customWidth="1"/>
    <col min="3" max="3" width="15" bestFit="1" customWidth="1"/>
    <col min="4" max="4" width="13.44140625" bestFit="1" customWidth="1"/>
    <col min="5" max="5" width="12.5546875" style="8" customWidth="1"/>
  </cols>
  <sheetData>
    <row r="1" spans="1:5" ht="40.049999999999997" customHeight="1" x14ac:dyDescent="0.3">
      <c r="A1" s="9" t="s">
        <v>7</v>
      </c>
      <c r="B1" s="2">
        <v>112</v>
      </c>
      <c r="C1" s="2">
        <v>113</v>
      </c>
      <c r="D1" s="2">
        <v>114</v>
      </c>
      <c r="E1" s="10" t="s">
        <v>8</v>
      </c>
    </row>
    <row r="2" spans="1:5" ht="19.95" customHeight="1" x14ac:dyDescent="0.3">
      <c r="A2" s="6" t="s">
        <v>9</v>
      </c>
      <c r="B2" s="11">
        <v>53237</v>
      </c>
      <c r="C2" s="11">
        <v>276349</v>
      </c>
      <c r="D2" s="11">
        <v>318504</v>
      </c>
      <c r="E2" s="12">
        <f>(D2-C2)/C2</f>
        <v>0.15254261821103027</v>
      </c>
    </row>
    <row r="3" spans="1:5" ht="19.95" customHeight="1" x14ac:dyDescent="0.3">
      <c r="A3" s="6"/>
      <c r="B3" s="5">
        <f>B2/$B$16</f>
        <v>6.0257000856820439E-2</v>
      </c>
      <c r="C3" s="5">
        <f>C2/$C$16</f>
        <v>0.26775668788574641</v>
      </c>
      <c r="D3" s="5">
        <f>D2/$D$16</f>
        <v>0.34360021619032516</v>
      </c>
      <c r="E3" s="12"/>
    </row>
    <row r="4" spans="1:5" ht="19.95" customHeight="1" x14ac:dyDescent="0.3">
      <c r="A4" s="6" t="s">
        <v>10</v>
      </c>
      <c r="B4" s="11">
        <v>274292</v>
      </c>
      <c r="C4" s="11">
        <v>271879</v>
      </c>
      <c r="D4" s="11">
        <v>218881</v>
      </c>
      <c r="E4" s="12">
        <f t="shared" ref="E4" si="0">(D4-C4)/C4</f>
        <v>-0.19493230444425647</v>
      </c>
    </row>
    <row r="5" spans="1:5" ht="19.95" customHeight="1" x14ac:dyDescent="0.3">
      <c r="A5" s="6"/>
      <c r="B5" s="5">
        <f>B4/$B$16</f>
        <v>0.31046101919753161</v>
      </c>
      <c r="C5" s="5">
        <f>C4/$C$16</f>
        <v>0.26342567024193625</v>
      </c>
      <c r="D5" s="5">
        <f>D4/$D$16</f>
        <v>0.23612751777043478</v>
      </c>
      <c r="E5" s="12"/>
    </row>
    <row r="6" spans="1:5" ht="19.95" customHeight="1" x14ac:dyDescent="0.3">
      <c r="A6" s="6" t="s">
        <v>11</v>
      </c>
      <c r="B6" s="11">
        <v>348851</v>
      </c>
      <c r="C6" s="11">
        <v>375696</v>
      </c>
      <c r="D6" s="11">
        <v>318058</v>
      </c>
      <c r="E6" s="12">
        <f t="shared" ref="E6" si="1">(D6-C6)/C6</f>
        <v>-0.15341659213832459</v>
      </c>
    </row>
    <row r="7" spans="1:5" ht="19.95" customHeight="1" x14ac:dyDescent="0.3">
      <c r="A7" s="6"/>
      <c r="B7" s="5">
        <f>B6/$B$16</f>
        <v>0.39485160707595596</v>
      </c>
      <c r="C7" s="5">
        <f>C6/$C$16</f>
        <v>0.36401476615411449</v>
      </c>
      <c r="D7" s="5">
        <f>D6/$D$16</f>
        <v>0.34311907404950154</v>
      </c>
      <c r="E7" s="12"/>
    </row>
    <row r="8" spans="1:5" ht="19.95" customHeight="1" x14ac:dyDescent="0.3">
      <c r="A8" s="6" t="s">
        <v>12</v>
      </c>
      <c r="B8" s="11">
        <v>178656</v>
      </c>
      <c r="C8" s="11">
        <v>84748</v>
      </c>
      <c r="D8" s="11">
        <v>54517</v>
      </c>
      <c r="E8" s="12">
        <f t="shared" ref="E8" si="2">(D8-C8)/C8</f>
        <v>-0.35671638268749706</v>
      </c>
    </row>
    <row r="9" spans="1:5" ht="19.95" customHeight="1" x14ac:dyDescent="0.3">
      <c r="A9" s="6"/>
      <c r="B9" s="5">
        <f>B8/$B$16</f>
        <v>0.20221415078002353</v>
      </c>
      <c r="C9" s="5">
        <f>C8/$C$16</f>
        <v>8.2112994021839178E-2</v>
      </c>
      <c r="D9" s="5">
        <f>D8/$D$16</f>
        <v>5.881261455444188E-2</v>
      </c>
      <c r="E9" s="12"/>
    </row>
    <row r="10" spans="1:5" ht="19.95" customHeight="1" x14ac:dyDescent="0.3">
      <c r="A10" s="6" t="s">
        <v>13</v>
      </c>
      <c r="B10" s="11">
        <v>10653</v>
      </c>
      <c r="C10" s="11">
        <v>12784</v>
      </c>
      <c r="D10" s="11">
        <v>12209</v>
      </c>
      <c r="E10" s="12">
        <f t="shared" ref="E10" si="3">(D10-C10)/C10</f>
        <v>-4.4978097622027535E-2</v>
      </c>
    </row>
    <row r="11" spans="1:5" ht="19.95" customHeight="1" x14ac:dyDescent="0.3">
      <c r="A11" s="6"/>
      <c r="B11" s="5">
        <f>B10/$B$16</f>
        <v>1.205773860525026E-2</v>
      </c>
      <c r="C11" s="5">
        <f>C10/$C$16</f>
        <v>1.2386516679746922E-2</v>
      </c>
      <c r="D11" s="5">
        <f>D10/$D$16</f>
        <v>1.317099640653706E-2</v>
      </c>
      <c r="E11" s="12"/>
    </row>
    <row r="12" spans="1:5" ht="19.95" customHeight="1" x14ac:dyDescent="0.3">
      <c r="A12" s="6" t="s">
        <v>14</v>
      </c>
      <c r="B12" s="11">
        <v>10162</v>
      </c>
      <c r="C12" s="11">
        <v>6109</v>
      </c>
      <c r="D12" s="11">
        <v>4742</v>
      </c>
      <c r="E12" s="12">
        <f t="shared" ref="E12" si="4">(D12-C12)/C12</f>
        <v>-0.22376821083647078</v>
      </c>
    </row>
    <row r="13" spans="1:5" ht="19.95" customHeight="1" x14ac:dyDescent="0.3">
      <c r="A13" s="6"/>
      <c r="B13" s="5">
        <f>B12/$B$16</f>
        <v>1.150199377701616E-2</v>
      </c>
      <c r="C13" s="5">
        <f>C12/$C$16</f>
        <v>5.9190574465405148E-3</v>
      </c>
      <c r="D13" s="5">
        <f>D12/$D$16</f>
        <v>5.115641326873515E-3</v>
      </c>
      <c r="E13" s="12"/>
    </row>
    <row r="14" spans="1:5" ht="19.95" customHeight="1" x14ac:dyDescent="0.3">
      <c r="A14" s="6" t="s">
        <v>15</v>
      </c>
      <c r="B14" s="11">
        <v>7648</v>
      </c>
      <c r="C14" s="11">
        <v>4525</v>
      </c>
      <c r="D14" s="11">
        <v>50</v>
      </c>
      <c r="E14" s="12">
        <f t="shared" ref="E14" si="5">(D14-C14)/C14</f>
        <v>-0.98895027624309395</v>
      </c>
    </row>
    <row r="15" spans="1:5" ht="19.95" customHeight="1" x14ac:dyDescent="0.3">
      <c r="A15" s="6"/>
      <c r="B15" s="5">
        <f>B14/$B$16</f>
        <v>8.6564897074020465E-3</v>
      </c>
      <c r="C15" s="5">
        <f>C14/$C$16</f>
        <v>4.3843075700762532E-3</v>
      </c>
      <c r="D15" s="5">
        <f>D14/$D$16</f>
        <v>5.3939701886055617E-5</v>
      </c>
      <c r="E15" s="12"/>
    </row>
    <row r="16" spans="1:5" ht="19.95" customHeight="1" x14ac:dyDescent="0.3">
      <c r="A16" s="6" t="s">
        <v>16</v>
      </c>
      <c r="B16" s="11">
        <f>SUM(B2+B4+B6+B8+B10+B12+B14)</f>
        <v>883499</v>
      </c>
      <c r="C16" s="11">
        <f t="shared" ref="C16:D16" si="6">SUM(C2+C4+C6+C8+C10+C12+C14)</f>
        <v>1032090</v>
      </c>
      <c r="D16" s="11">
        <f t="shared" si="6"/>
        <v>926961</v>
      </c>
      <c r="E16" s="12">
        <f t="shared" ref="E16" si="7">(D16-C16)/C16</f>
        <v>-0.10186030288056275</v>
      </c>
    </row>
    <row r="17" spans="1:5" ht="19.95" customHeight="1" x14ac:dyDescent="0.3">
      <c r="A17" s="6"/>
      <c r="B17" s="5">
        <v>1</v>
      </c>
      <c r="C17" s="5">
        <v>1</v>
      </c>
      <c r="D17" s="5">
        <v>1</v>
      </c>
      <c r="E17" s="12"/>
    </row>
    <row r="18" spans="1:5" ht="19.95" customHeight="1" x14ac:dyDescent="0.3">
      <c r="A18" s="7"/>
    </row>
    <row r="19" spans="1:5" ht="19.95" customHeight="1" x14ac:dyDescent="0.3">
      <c r="A19" s="7"/>
    </row>
  </sheetData>
  <mergeCells count="17">
    <mergeCell ref="E14:E15"/>
    <mergeCell ref="E16:E17"/>
    <mergeCell ref="A12:A13"/>
    <mergeCell ref="A14:A15"/>
    <mergeCell ref="A16:A17"/>
    <mergeCell ref="A18:A19"/>
    <mergeCell ref="E2:E3"/>
    <mergeCell ref="E4:E5"/>
    <mergeCell ref="E6:E7"/>
    <mergeCell ref="E8:E9"/>
    <mergeCell ref="E10:E11"/>
    <mergeCell ref="E12:E13"/>
    <mergeCell ref="A2:A3"/>
    <mergeCell ref="A4:A5"/>
    <mergeCell ref="A6:A7"/>
    <mergeCell ref="A8:A9"/>
    <mergeCell ref="A10:A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112年至114年台東縣公路客運年總運量統計表</vt:lpstr>
      <vt:lpstr>112年至114年臺東縣公路客運種人數及百分比表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添順 張</dc:creator>
  <cp:lastModifiedBy>添順 張</cp:lastModifiedBy>
  <cp:lastPrinted>2026-03-20T08:51:57Z</cp:lastPrinted>
  <dcterms:created xsi:type="dcterms:W3CDTF">2026-03-20T07:12:26Z</dcterms:created>
  <dcterms:modified xsi:type="dcterms:W3CDTF">2026-03-21T13:23:20Z</dcterms:modified>
</cp:coreProperties>
</file>