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Github\115_Midterm-Report\兆妤\112~114年花蓮縣公路客運運量趨勢分析\"/>
    </mc:Choice>
  </mc:AlternateContent>
  <xr:revisionPtr revIDLastSave="0" documentId="13_ncr:1_{BBD23233-5F77-4C3C-B89C-64892F2D59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人數表" sheetId="1" r:id="rId1"/>
    <sheet name="比例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6" i="1"/>
  <c r="F4" i="1"/>
  <c r="F2" i="1"/>
  <c r="E4" i="1"/>
  <c r="E6" i="1"/>
  <c r="E8" i="1"/>
  <c r="E2" i="1"/>
</calcChain>
</file>

<file path=xl/sharedStrings.xml><?xml version="1.0" encoding="utf-8"?>
<sst xmlns="http://schemas.openxmlformats.org/spreadsheetml/2006/main" count="18" uniqueCount="11">
  <si>
    <t/>
  </si>
  <si>
    <t>112</t>
  </si>
  <si>
    <t>113</t>
  </si>
  <si>
    <t>114</t>
  </si>
  <si>
    <t>海岸線</t>
  </si>
  <si>
    <t>縱谷線</t>
  </si>
  <si>
    <t>山海線</t>
  </si>
  <si>
    <t>總運量</t>
  </si>
  <si>
    <t>Sum</t>
  </si>
  <si>
    <r>
      <t>113</t>
    </r>
    <r>
      <rPr>
        <sz val="11"/>
        <color rgb="FF000000"/>
        <rFont val="Microsoft JhengHei"/>
        <family val="2"/>
      </rPr>
      <t>年成長率</t>
    </r>
    <phoneticPr fontId="2" type="noConversion"/>
  </si>
  <si>
    <r>
      <t>114</t>
    </r>
    <r>
      <rPr>
        <sz val="11"/>
        <color rgb="FF000000"/>
        <rFont val="Microsoft JhengHei"/>
        <family val="2"/>
      </rPr>
      <t>年成長率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</si>
</sst>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9" formatCode="#,##0_ 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細明體"/>
      <family val="3"/>
      <charset val="136"/>
      <scheme val="minor"/>
    </font>
    <font>
      <sz val="11"/>
      <color rgb="FF000000"/>
      <name val="Microsoft Jheng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176" fontId="0" fillId="0" borderId="0" xfId="1" applyNumberFormat="1" applyFont="1" applyAlignment="1"/>
    <xf numFmtId="179" fontId="0" fillId="0" borderId="0" xfId="0" applyNumberFormat="1"/>
    <xf numFmtId="0" fontId="0" fillId="0" borderId="0" xfId="0" applyAlignment="1">
      <alignment horizontal="center"/>
    </xf>
    <xf numFmtId="176" fontId="0" fillId="0" borderId="0" xfId="1" applyNumberFormat="1" applyFont="1" applyAlignment="1">
      <alignment horizont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45" zoomScaleNormal="145" workbookViewId="0">
      <selection activeCell="K9" sqref="K9"/>
    </sheetView>
  </sheetViews>
  <sheetFormatPr defaultColWidth="11.42578125" defaultRowHeight="15"/>
  <cols>
    <col min="5" max="6" width="13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10</v>
      </c>
    </row>
    <row r="2" spans="1:6">
      <c r="A2" s="3" t="s">
        <v>4</v>
      </c>
      <c r="B2" s="2">
        <v>167970</v>
      </c>
      <c r="C2" s="2">
        <v>208188</v>
      </c>
      <c r="D2" s="2">
        <v>158673</v>
      </c>
      <c r="E2" s="4">
        <f>(C2-B2)/B2</f>
        <v>0.23943561350241113</v>
      </c>
      <c r="F2" s="4">
        <f>(D2-C2)/C2</f>
        <v>-0.23783791573001326</v>
      </c>
    </row>
    <row r="3" spans="1:6">
      <c r="A3" s="3"/>
      <c r="B3" s="1">
        <v>0.41501331738870501</v>
      </c>
      <c r="C3" s="1">
        <v>0.46177391736387802</v>
      </c>
      <c r="D3" s="1">
        <v>0.44068855764504</v>
      </c>
      <c r="E3" s="4"/>
      <c r="F3" s="4"/>
    </row>
    <row r="4" spans="1:6">
      <c r="A4" s="3" t="s">
        <v>5</v>
      </c>
      <c r="B4" s="2">
        <v>195322</v>
      </c>
      <c r="C4" s="2">
        <v>203293</v>
      </c>
      <c r="D4" s="2">
        <v>174831</v>
      </c>
      <c r="E4" s="4">
        <f>(C4-B4)/B4</f>
        <v>4.0809535024216421E-2</v>
      </c>
      <c r="F4" s="4">
        <f>(D4-C4)/C4</f>
        <v>-0.14000482062835415</v>
      </c>
    </row>
    <row r="5" spans="1:6">
      <c r="A5" s="3"/>
      <c r="B5" s="1">
        <v>0.48259350585816901</v>
      </c>
      <c r="C5" s="1">
        <v>0.45091650326942401</v>
      </c>
      <c r="D5" s="1">
        <v>0.485564785575617</v>
      </c>
      <c r="E5" s="4"/>
      <c r="F5" s="4"/>
    </row>
    <row r="6" spans="1:6">
      <c r="A6" s="3" t="s">
        <v>6</v>
      </c>
      <c r="B6" s="2">
        <v>41442</v>
      </c>
      <c r="C6" s="2">
        <v>39363</v>
      </c>
      <c r="D6" s="2">
        <v>26553</v>
      </c>
      <c r="E6" s="4">
        <f>(C6-B6)/B6</f>
        <v>-5.0166497755899812E-2</v>
      </c>
      <c r="F6" s="4">
        <f>(D6-C6)/C6</f>
        <v>-0.32543251276579527</v>
      </c>
    </row>
    <row r="7" spans="1:6">
      <c r="A7" s="3"/>
      <c r="B7" s="1">
        <v>0.10239317675312699</v>
      </c>
      <c r="C7" s="1">
        <v>8.7309579366698906E-2</v>
      </c>
      <c r="D7" s="1">
        <v>7.3746656779343306E-2</v>
      </c>
      <c r="E7" s="4"/>
      <c r="F7" s="4"/>
    </row>
    <row r="8" spans="1:6">
      <c r="A8" s="3" t="s">
        <v>7</v>
      </c>
      <c r="B8" s="2">
        <v>404734</v>
      </c>
      <c r="C8" s="2">
        <v>450844</v>
      </c>
      <c r="D8" s="2">
        <v>360057</v>
      </c>
      <c r="E8" s="4">
        <f>(C8-B8)/B8</f>
        <v>0.11392667776860851</v>
      </c>
      <c r="F8" s="4">
        <f>(D8-C8)/C8</f>
        <v>-0.20137120600473779</v>
      </c>
    </row>
    <row r="9" spans="1:6">
      <c r="A9" s="3"/>
      <c r="B9" s="1">
        <v>1</v>
      </c>
      <c r="C9" s="1">
        <v>1</v>
      </c>
      <c r="D9" s="1">
        <v>1</v>
      </c>
      <c r="E9" s="4"/>
      <c r="F9" s="4"/>
    </row>
  </sheetData>
  <mergeCells count="12">
    <mergeCell ref="F8:F9"/>
    <mergeCell ref="F6:F7"/>
    <mergeCell ref="F4:F5"/>
    <mergeCell ref="F2:F3"/>
    <mergeCell ref="E8:E9"/>
    <mergeCell ref="E6:E7"/>
    <mergeCell ref="E4:E5"/>
    <mergeCell ref="E2:E3"/>
    <mergeCell ref="A8:A9"/>
    <mergeCell ref="A6:A7"/>
    <mergeCell ref="A4:A5"/>
    <mergeCell ref="A2:A3"/>
  </mergeCells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B2" sqref="B2:D5"/>
    </sheetView>
  </sheetViews>
  <sheetFormatPr defaultColWidth="11.42578125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0.41501331738870501</v>
      </c>
      <c r="C2" s="1">
        <v>0.46177391736387802</v>
      </c>
      <c r="D2" s="1">
        <v>0.44068855764504</v>
      </c>
    </row>
    <row r="3" spans="1:4">
      <c r="A3" t="s">
        <v>5</v>
      </c>
      <c r="B3" s="1">
        <v>0.48259350585816901</v>
      </c>
      <c r="C3" s="1">
        <v>0.45091650326942401</v>
      </c>
      <c r="D3" s="1">
        <v>0.485564785575617</v>
      </c>
    </row>
    <row r="4" spans="1:4">
      <c r="A4" t="s">
        <v>6</v>
      </c>
      <c r="B4" s="1">
        <v>0.10239317675312699</v>
      </c>
      <c r="C4" s="1">
        <v>8.7309579366698906E-2</v>
      </c>
      <c r="D4" s="1">
        <v>7.3746656779343306E-2</v>
      </c>
    </row>
    <row r="5" spans="1:4">
      <c r="A5" t="s">
        <v>8</v>
      </c>
      <c r="B5" s="1">
        <v>1</v>
      </c>
      <c r="C5" s="1">
        <v>1</v>
      </c>
      <c r="D5" s="1">
        <v>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人數表</vt:lpstr>
      <vt:lpstr>比例表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Yi-Xuan</dc:creator>
  <cp:lastModifiedBy>Yi-Xuan Xie</cp:lastModifiedBy>
  <dcterms:created xsi:type="dcterms:W3CDTF">2026-05-03T03:01:12Z</dcterms:created>
  <dcterms:modified xsi:type="dcterms:W3CDTF">2026-05-03T10:48:34Z</dcterms:modified>
</cp:coreProperties>
</file>