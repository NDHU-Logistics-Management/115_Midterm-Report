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115_Midterm-Report\兆妤\112~114年花蓮縣公路客運持卡身分分析\"/>
    </mc:Choice>
  </mc:AlternateContent>
  <xr:revisionPtr revIDLastSave="0" documentId="13_ncr:1_{CF6D2AC5-F8B0-4185-AB9D-D68712BE87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人數表" sheetId="1" r:id="rId1"/>
    <sheet name="比例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6" i="1"/>
  <c r="F4" i="1"/>
  <c r="F8" i="1"/>
  <c r="F10" i="1"/>
  <c r="F12" i="1"/>
  <c r="F14" i="1"/>
  <c r="E6" i="1"/>
  <c r="E4" i="1"/>
  <c r="E8" i="1"/>
  <c r="E10" i="1"/>
  <c r="E12" i="1"/>
  <c r="E14" i="1"/>
  <c r="E2" i="1"/>
</calcChain>
</file>

<file path=xl/sharedStrings.xml><?xml version="1.0" encoding="utf-8"?>
<sst xmlns="http://schemas.openxmlformats.org/spreadsheetml/2006/main" count="25" uniqueCount="15">
  <si>
    <t/>
  </si>
  <si>
    <t>112</t>
  </si>
  <si>
    <t>113</t>
  </si>
  <si>
    <t>114</t>
  </si>
  <si>
    <t>普通(含TPASS)</t>
  </si>
  <si>
    <t>學生</t>
  </si>
  <si>
    <t>敬老優待</t>
  </si>
  <si>
    <t>愛心優待</t>
  </si>
  <si>
    <t>其他優待</t>
  </si>
  <si>
    <t>員工</t>
  </si>
  <si>
    <t>無法區別</t>
  </si>
  <si>
    <t>總運量</t>
  </si>
  <si>
    <t>Sum</t>
  </si>
  <si>
    <r>
      <t>113</t>
    </r>
    <r>
      <rPr>
        <sz val="11"/>
        <color rgb="FF000000"/>
        <rFont val="Microsoft JhengHei"/>
        <family val="2"/>
      </rPr>
      <t>年成長率</t>
    </r>
    <phoneticPr fontId="2" type="noConversion"/>
  </si>
  <si>
    <r>
      <t>114</t>
    </r>
    <r>
      <rPr>
        <sz val="11"/>
        <color rgb="FF000000"/>
        <rFont val="Microsoft JhengHei"/>
        <family val="2"/>
      </rPr>
      <t>年成長率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</si>
</sst>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#,##0_ "/>
  </numFmts>
  <fonts count="4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name val="細明體"/>
      <family val="3"/>
      <charset val="136"/>
      <scheme val="minor"/>
    </font>
    <font>
      <sz val="11"/>
      <color rgb="FF000000"/>
      <name val="Microsoft JhengHe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5">
    <xf numFmtId="0" fontId="0" fillId="0" borderId="0" xfId="0"/>
    <xf numFmtId="176" fontId="0" fillId="0" borderId="0" xfId="1" applyNumberFormat="1" applyFont="1" applyAlignment="1"/>
    <xf numFmtId="177" fontId="0" fillId="0" borderId="0" xfId="0" applyNumberFormat="1"/>
    <xf numFmtId="176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zoomScale="175" zoomScaleNormal="175" workbookViewId="0">
      <selection activeCell="F12" sqref="F12:F13"/>
    </sheetView>
  </sheetViews>
  <sheetFormatPr defaultColWidth="11.42578125" defaultRowHeight="15"/>
  <cols>
    <col min="1" max="1" width="15.5703125" bestFit="1" customWidth="1"/>
    <col min="5" max="6" width="13.710937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13</v>
      </c>
      <c r="F1" t="s">
        <v>14</v>
      </c>
    </row>
    <row r="2" spans="1:10">
      <c r="A2" s="4" t="s">
        <v>4</v>
      </c>
      <c r="B2" s="2">
        <v>167971</v>
      </c>
      <c r="C2" s="2">
        <v>200482</v>
      </c>
      <c r="D2" s="2">
        <v>153128</v>
      </c>
      <c r="E2" s="3">
        <f>(C2-B2)/B2</f>
        <v>0.19355126777836651</v>
      </c>
      <c r="F2" s="3">
        <f>(D2-C2)/C2</f>
        <v>-0.23620075617761196</v>
      </c>
    </row>
    <row r="3" spans="1:10">
      <c r="A3" s="4"/>
      <c r="B3" s="1">
        <v>0.41501578814727702</v>
      </c>
      <c r="C3" s="1">
        <v>0.44468153064031002</v>
      </c>
      <c r="D3" s="1">
        <v>0.425288218254332</v>
      </c>
      <c r="E3" s="3"/>
      <c r="F3" s="3"/>
    </row>
    <row r="4" spans="1:10">
      <c r="A4" s="4" t="s">
        <v>6</v>
      </c>
      <c r="B4" s="2">
        <v>74152</v>
      </c>
      <c r="C4" s="2">
        <v>125897</v>
      </c>
      <c r="D4" s="2">
        <v>118456</v>
      </c>
      <c r="E4" s="3">
        <f>(C4-B4)/B4</f>
        <v>0.69782338979393677</v>
      </c>
      <c r="F4" s="3">
        <f>(D4-C4)/C4</f>
        <v>-5.9103870624399313E-2</v>
      </c>
    </row>
    <row r="5" spans="1:10">
      <c r="A5" s="4"/>
      <c r="B5" s="1">
        <v>0.183211689652957</v>
      </c>
      <c r="C5" s="1">
        <v>0.279247367160259</v>
      </c>
      <c r="D5" s="1">
        <v>0.32899235398839599</v>
      </c>
      <c r="E5" s="3"/>
      <c r="F5" s="3"/>
    </row>
    <row r="6" spans="1:10">
      <c r="A6" s="4" t="s">
        <v>5</v>
      </c>
      <c r="B6" s="2">
        <v>44587</v>
      </c>
      <c r="C6" s="2">
        <v>33262</v>
      </c>
      <c r="D6" s="2">
        <v>23325</v>
      </c>
      <c r="E6" s="3">
        <f>(C6-B6)/B6</f>
        <v>-0.25399780204992489</v>
      </c>
      <c r="F6" s="3">
        <f>(D6-C6)/C6</f>
        <v>-0.29874932355240214</v>
      </c>
    </row>
    <row r="7" spans="1:10">
      <c r="A7" s="4"/>
      <c r="B7" s="1">
        <v>0.110163712463</v>
      </c>
      <c r="C7" s="1">
        <v>7.37771823513233E-2</v>
      </c>
      <c r="D7" s="1">
        <v>6.4781409610145099E-2</v>
      </c>
      <c r="E7" s="3"/>
      <c r="F7" s="3"/>
    </row>
    <row r="8" spans="1:10">
      <c r="A8" s="4" t="s">
        <v>7</v>
      </c>
      <c r="B8" s="2">
        <v>23057</v>
      </c>
      <c r="C8" s="2">
        <v>40231</v>
      </c>
      <c r="D8" s="2">
        <v>46445</v>
      </c>
      <c r="E8" s="3">
        <f t="shared" ref="E4:F14" si="0">(C8-B8)/B8</f>
        <v>0.74484972025848983</v>
      </c>
      <c r="F8" s="3">
        <f t="shared" si="0"/>
        <v>0.15445800502100371</v>
      </c>
    </row>
    <row r="9" spans="1:10">
      <c r="A9" s="4"/>
      <c r="B9" s="1">
        <v>5.6968280401448801E-2</v>
      </c>
      <c r="C9" s="1">
        <v>8.9234857289882993E-2</v>
      </c>
      <c r="D9" s="1">
        <v>0.128993464923609</v>
      </c>
      <c r="E9" s="3"/>
      <c r="F9" s="3"/>
      <c r="H9" s="1"/>
      <c r="I9" s="1"/>
      <c r="J9" s="1"/>
    </row>
    <row r="10" spans="1:10">
      <c r="A10" s="4" t="s">
        <v>8</v>
      </c>
      <c r="B10" s="2">
        <v>93245</v>
      </c>
      <c r="C10" s="2">
        <v>42013</v>
      </c>
      <c r="D10" s="2">
        <v>6928</v>
      </c>
      <c r="E10" s="3">
        <f t="shared" si="0"/>
        <v>-0.54943428602069821</v>
      </c>
      <c r="F10" s="3">
        <f t="shared" si="0"/>
        <v>-0.83509865993859045</v>
      </c>
    </row>
    <row r="11" spans="1:10">
      <c r="A11" s="4"/>
      <c r="B11" s="1">
        <v>0.23038588307382099</v>
      </c>
      <c r="C11" s="1">
        <v>9.3187443993931404E-2</v>
      </c>
      <c r="D11" s="1">
        <v>1.9241397889778598E-2</v>
      </c>
      <c r="E11" s="3"/>
      <c r="F11" s="3"/>
    </row>
    <row r="12" spans="1:10">
      <c r="A12" s="4" t="s">
        <v>10</v>
      </c>
      <c r="B12" s="2">
        <v>1722</v>
      </c>
      <c r="C12" s="2">
        <v>8959</v>
      </c>
      <c r="D12" s="2">
        <v>11775</v>
      </c>
      <c r="E12" s="3">
        <f t="shared" si="0"/>
        <v>4.2026713124274098</v>
      </c>
      <c r="F12" s="3">
        <f t="shared" si="0"/>
        <v>0.31432079473155489</v>
      </c>
    </row>
    <row r="13" spans="1:10">
      <c r="A13" s="4"/>
      <c r="B13" s="1">
        <v>4.2546462614951996E-3</v>
      </c>
      <c r="C13" s="1">
        <v>1.98716185642927E-2</v>
      </c>
      <c r="D13" s="1">
        <v>3.2703155333738798E-2</v>
      </c>
      <c r="E13" s="3"/>
      <c r="F13" s="3"/>
    </row>
    <row r="14" spans="1:10">
      <c r="A14" s="4" t="s">
        <v>11</v>
      </c>
      <c r="B14" s="2">
        <v>404734</v>
      </c>
      <c r="C14" s="2">
        <v>450844</v>
      </c>
      <c r="D14" s="2">
        <v>360057</v>
      </c>
      <c r="E14" s="3">
        <f t="shared" si="0"/>
        <v>0.11392667776860851</v>
      </c>
      <c r="F14" s="3">
        <f t="shared" si="0"/>
        <v>-0.20137120600473779</v>
      </c>
    </row>
    <row r="15" spans="1:10">
      <c r="A15" s="4"/>
      <c r="B15" s="1">
        <v>1</v>
      </c>
      <c r="C15" s="1">
        <v>1</v>
      </c>
      <c r="D15" s="1">
        <v>1</v>
      </c>
      <c r="E15" s="3"/>
      <c r="F15" s="3"/>
    </row>
  </sheetData>
  <mergeCells count="21">
    <mergeCell ref="A2:A3"/>
    <mergeCell ref="E14:E15"/>
    <mergeCell ref="E12:E13"/>
    <mergeCell ref="E10:E11"/>
    <mergeCell ref="E8:E9"/>
    <mergeCell ref="E4:E5"/>
    <mergeCell ref="E6:E7"/>
    <mergeCell ref="E2:E3"/>
    <mergeCell ref="A14:A15"/>
    <mergeCell ref="A12:A13"/>
    <mergeCell ref="A10:A11"/>
    <mergeCell ref="A8:A9"/>
    <mergeCell ref="A4:A5"/>
    <mergeCell ref="A6:A7"/>
    <mergeCell ref="F14:F15"/>
    <mergeCell ref="F2:F3"/>
    <mergeCell ref="F6:F7"/>
    <mergeCell ref="F4:F5"/>
    <mergeCell ref="F8:F9"/>
    <mergeCell ref="F10:F11"/>
    <mergeCell ref="F12:F13"/>
  </mergeCells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zoomScale="175" zoomScaleNormal="175" workbookViewId="0">
      <selection activeCell="B2" sqref="B2:D9"/>
    </sheetView>
  </sheetViews>
  <sheetFormatPr defaultColWidth="11.42578125" defaultRowHeight="1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s="1">
        <v>0.41501578814727702</v>
      </c>
      <c r="C2" s="1">
        <v>0.44468153064031002</v>
      </c>
      <c r="D2" s="1">
        <v>0.425288218254332</v>
      </c>
    </row>
    <row r="3" spans="1:4">
      <c r="A3" t="s">
        <v>5</v>
      </c>
      <c r="B3" s="1">
        <v>0.110163712463</v>
      </c>
      <c r="C3" s="1">
        <v>7.37771823513233E-2</v>
      </c>
      <c r="D3" s="1">
        <v>6.4781409610145099E-2</v>
      </c>
    </row>
    <row r="4" spans="1:4">
      <c r="A4" t="s">
        <v>6</v>
      </c>
      <c r="B4" s="1">
        <v>0.183211689652957</v>
      </c>
      <c r="C4" s="1">
        <v>0.279247367160259</v>
      </c>
      <c r="D4" s="1">
        <v>0.32899235398839599</v>
      </c>
    </row>
    <row r="5" spans="1:4">
      <c r="A5" t="s">
        <v>7</v>
      </c>
      <c r="B5" s="1">
        <v>5.6968280401448801E-2</v>
      </c>
      <c r="C5" s="1">
        <v>8.9234857289882993E-2</v>
      </c>
      <c r="D5" s="1">
        <v>0.128993464923609</v>
      </c>
    </row>
    <row r="6" spans="1:4">
      <c r="A6" t="s">
        <v>8</v>
      </c>
      <c r="B6" s="1">
        <v>0.23038588307382099</v>
      </c>
      <c r="C6" s="1">
        <v>9.3187443993931404E-2</v>
      </c>
      <c r="D6" s="1">
        <v>1.9241397889778598E-2</v>
      </c>
    </row>
    <row r="7" spans="1:4">
      <c r="A7" t="s">
        <v>9</v>
      </c>
      <c r="B7" s="1">
        <v>0</v>
      </c>
      <c r="C7" s="1">
        <v>0</v>
      </c>
      <c r="D7" s="1">
        <v>0</v>
      </c>
    </row>
    <row r="8" spans="1:4">
      <c r="A8" t="s">
        <v>10</v>
      </c>
      <c r="B8" s="1">
        <v>4.2546462614951996E-3</v>
      </c>
      <c r="C8" s="1">
        <v>1.98716185642927E-2</v>
      </c>
      <c r="D8" s="1">
        <v>3.2703155333738798E-2</v>
      </c>
    </row>
    <row r="9" spans="1:4">
      <c r="A9" t="s">
        <v>12</v>
      </c>
      <c r="B9" s="1">
        <v>1</v>
      </c>
      <c r="C9" s="1">
        <v>1</v>
      </c>
      <c r="D9" s="1">
        <v>1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人數表</vt:lpstr>
      <vt:lpstr>比例表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Yi-Xuan</dc:creator>
  <cp:lastModifiedBy>Yi-Xuan Xie</cp:lastModifiedBy>
  <dcterms:created xsi:type="dcterms:W3CDTF">2026-05-03T01:57:25Z</dcterms:created>
  <dcterms:modified xsi:type="dcterms:W3CDTF">2026-05-03T12:51:28Z</dcterms:modified>
</cp:coreProperties>
</file>