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運籌\115\"/>
    </mc:Choice>
  </mc:AlternateContent>
  <xr:revisionPtr revIDLastSave="0" documentId="13_ncr:1_{7BD3FE81-7BC7-43B0-8988-F2DDA16FA75E}" xr6:coauthVersionLast="47" xr6:coauthVersionMax="47" xr10:uidLastSave="{00000000-0000-0000-0000-000000000000}"/>
  <bookViews>
    <workbookView xWindow="-28920" yWindow="-120" windowWidth="29040" windowHeight="16440" firstSheet="9" activeTab="13" xr2:uid="{00000000-000D-0000-FFFF-FFFF00000000}"/>
  </bookViews>
  <sheets>
    <sheet name="花蓮縣TPASS年占比" sheetId="1" r:id="rId1"/>
    <sheet name="臺東縣TPASS年占比" sheetId="2" r:id="rId2"/>
    <sheet name="花蓮縣TPASS月占比" sheetId="3" r:id="rId3"/>
    <sheet name="臺東縣TPASS月占比" sheetId="4" r:id="rId4"/>
    <sheet name="花蓮縣市區客運TPASS年占比" sheetId="5" r:id="rId5"/>
    <sheet name="臺東縣市區客運TPASS年占比" sheetId="6" r:id="rId6"/>
    <sheet name="花蓮縣市區客運TPASS月占比" sheetId="7" r:id="rId7"/>
    <sheet name="臺東縣市區客運TPASS月占比" sheetId="8" r:id="rId8"/>
    <sheet name="花蓮縣公路客運TPASS年占比" sheetId="9" r:id="rId9"/>
    <sheet name="臺東縣公路客運TPASS年占比" sheetId="10" r:id="rId10"/>
    <sheet name="花蓮縣公路客運TPASS月占比" sheetId="11" r:id="rId11"/>
    <sheet name="臺東縣公路客運TPASS月占比" sheetId="12" r:id="rId12"/>
    <sheet name="市區客運各種TPASS成長率" sheetId="13" r:id="rId13"/>
    <sheet name="公路客運各種TPASS成長率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4" l="1"/>
  <c r="D5" i="14"/>
  <c r="C5" i="14"/>
  <c r="B5" i="14"/>
  <c r="F4" i="14"/>
  <c r="E4" i="14"/>
  <c r="F3" i="14"/>
  <c r="E3" i="14"/>
  <c r="F2" i="14"/>
  <c r="F3" i="13"/>
  <c r="F4" i="13"/>
  <c r="F2" i="13"/>
  <c r="E3" i="13"/>
  <c r="E4" i="13"/>
  <c r="E2" i="13"/>
  <c r="C5" i="13"/>
  <c r="D5" i="13"/>
  <c r="B5" i="13"/>
  <c r="C29" i="12"/>
  <c r="B29" i="12"/>
  <c r="B5" i="9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C29" i="11"/>
  <c r="B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C5" i="10"/>
  <c r="B5" i="10"/>
  <c r="D4" i="10"/>
  <c r="D3" i="10"/>
  <c r="D2" i="10"/>
  <c r="C5" i="9"/>
  <c r="D4" i="9"/>
  <c r="D3" i="9"/>
  <c r="D2" i="9"/>
  <c r="B29" i="8"/>
  <c r="C29" i="7"/>
  <c r="C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B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C5" i="6"/>
  <c r="B5" i="6"/>
  <c r="D4" i="6"/>
  <c r="D3" i="6"/>
  <c r="D2" i="6"/>
  <c r="C5" i="5"/>
  <c r="B5" i="5"/>
  <c r="D4" i="5"/>
  <c r="D3" i="5"/>
  <c r="D2" i="5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B29" i="4"/>
  <c r="C29" i="4"/>
  <c r="C29" i="3"/>
  <c r="D29" i="3" s="1"/>
  <c r="B29" i="3"/>
  <c r="C5" i="2"/>
  <c r="B5" i="2"/>
  <c r="D4" i="2"/>
  <c r="D3" i="2"/>
  <c r="D2" i="2"/>
  <c r="D3" i="1"/>
  <c r="D4" i="1"/>
  <c r="D2" i="1"/>
  <c r="C5" i="1"/>
  <c r="B5" i="1"/>
  <c r="D5" i="1" s="1"/>
  <c r="D29" i="12" l="1"/>
  <c r="D29" i="11"/>
  <c r="D5" i="10"/>
  <c r="D5" i="9"/>
  <c r="D29" i="8"/>
  <c r="D29" i="7"/>
  <c r="D5" i="6"/>
  <c r="D5" i="5"/>
  <c r="D29" i="4"/>
  <c r="D5" i="2"/>
</calcChain>
</file>

<file path=xl/sharedStrings.xml><?xml version="1.0" encoding="utf-8"?>
<sst xmlns="http://schemas.openxmlformats.org/spreadsheetml/2006/main" count="74" uniqueCount="33">
  <si>
    <t>year</t>
    <phoneticPr fontId="2" type="noConversion"/>
  </si>
  <si>
    <t>占比</t>
    <phoneticPr fontId="2" type="noConversion"/>
  </si>
  <si>
    <t>Total</t>
    <phoneticPr fontId="2" type="noConversion"/>
  </si>
  <si>
    <t>花蓮縣每年筆數</t>
    <phoneticPr fontId="2" type="noConversion"/>
  </si>
  <si>
    <t>花蓮縣TPASS每年筆數</t>
    <phoneticPr fontId="2" type="noConversion"/>
  </si>
  <si>
    <t>花蓮縣每月筆數</t>
    <phoneticPr fontId="2" type="noConversion"/>
  </si>
  <si>
    <t>花蓮縣TPASS每月筆數</t>
    <phoneticPr fontId="2" type="noConversion"/>
  </si>
  <si>
    <t>臺東縣每年筆數</t>
    <phoneticPr fontId="2" type="noConversion"/>
  </si>
  <si>
    <t>臺東縣TPASS每年筆數</t>
    <phoneticPr fontId="2" type="noConversion"/>
  </si>
  <si>
    <t>臺東縣每月筆數</t>
    <phoneticPr fontId="2" type="noConversion"/>
  </si>
  <si>
    <t>臺東縣TPASS每月筆數</t>
    <phoneticPr fontId="2" type="noConversion"/>
  </si>
  <si>
    <t>花蓮縣市區客運每年筆數</t>
    <phoneticPr fontId="2" type="noConversion"/>
  </si>
  <si>
    <t>花蓮縣市區客運TPASS每年筆數</t>
    <phoneticPr fontId="2" type="noConversion"/>
  </si>
  <si>
    <t>臺東縣市區客運每年筆數</t>
    <phoneticPr fontId="2" type="noConversion"/>
  </si>
  <si>
    <t>臺東縣市區客運TPASS每年筆數</t>
    <phoneticPr fontId="2" type="noConversion"/>
  </si>
  <si>
    <t>花蓮縣市區客運每月筆數</t>
    <phoneticPr fontId="2" type="noConversion"/>
  </si>
  <si>
    <t>花蓮縣市區客運TPASS每月筆數</t>
    <phoneticPr fontId="2" type="noConversion"/>
  </si>
  <si>
    <t>臺東縣市區客運每月筆數</t>
    <phoneticPr fontId="2" type="noConversion"/>
  </si>
  <si>
    <t>臺東縣市區客運TPASS每月筆數</t>
    <phoneticPr fontId="2" type="noConversion"/>
  </si>
  <si>
    <t>花蓮縣公路客運每年筆數</t>
    <phoneticPr fontId="2" type="noConversion"/>
  </si>
  <si>
    <t>花蓮縣公路客運TPASS每年筆數</t>
    <phoneticPr fontId="2" type="noConversion"/>
  </si>
  <si>
    <t>臺東縣公路客運每年筆數</t>
    <phoneticPr fontId="2" type="noConversion"/>
  </si>
  <si>
    <t>臺東縣公路客運TPASS每年筆數</t>
    <phoneticPr fontId="2" type="noConversion"/>
  </si>
  <si>
    <t>花蓮縣公路客運每月筆數</t>
    <phoneticPr fontId="2" type="noConversion"/>
  </si>
  <si>
    <t>花蓮縣公路客運TPASS每月筆數</t>
    <phoneticPr fontId="2" type="noConversion"/>
  </si>
  <si>
    <t>臺東縣公路客運每月筆數</t>
    <phoneticPr fontId="2" type="noConversion"/>
  </si>
  <si>
    <t>臺東縣公路客運TPASS每月筆數</t>
    <phoneticPr fontId="2" type="noConversion"/>
  </si>
  <si>
    <t>#HUA-199</t>
    <phoneticPr fontId="2" type="noConversion"/>
  </si>
  <si>
    <t>#HUA-399</t>
    <phoneticPr fontId="2" type="noConversion"/>
  </si>
  <si>
    <t>#TTT-299</t>
    <phoneticPr fontId="2" type="noConversion"/>
  </si>
  <si>
    <t>113成長率</t>
    <phoneticPr fontId="2" type="noConversion"/>
  </si>
  <si>
    <t>114成長率</t>
    <phoneticPr fontId="2" type="noConversion"/>
  </si>
  <si>
    <t xml:space="preserve">票種次類型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</si>
</sst>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yyyy\-mm"/>
  </numFmts>
  <fonts count="3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176" fontId="0" fillId="0" borderId="0" xfId="1" applyNumberFormat="1" applyFont="1" applyAlignment="1"/>
    <xf numFmtId="177" fontId="0" fillId="0" borderId="0" xfId="0" applyNumberFormat="1"/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zoomScale="145" zoomScaleNormal="145" workbookViewId="0">
      <selection activeCell="H12" sqref="H12"/>
    </sheetView>
  </sheetViews>
  <sheetFormatPr defaultRowHeight="15.75" x14ac:dyDescent="0.25"/>
  <cols>
    <col min="1" max="1" width="6" bestFit="1" customWidth="1"/>
    <col min="2" max="2" width="17.5703125" bestFit="1" customWidth="1"/>
    <col min="3" max="3" width="24.42578125" bestFit="1" customWidth="1"/>
    <col min="4" max="4" width="7" bestFit="1" customWidth="1"/>
  </cols>
  <sheetData>
    <row r="1" spans="1:4" x14ac:dyDescent="0.25">
      <c r="A1" t="s">
        <v>0</v>
      </c>
      <c r="B1" t="s">
        <v>3</v>
      </c>
      <c r="C1" t="s">
        <v>4</v>
      </c>
      <c r="D1" t="s">
        <v>1</v>
      </c>
    </row>
    <row r="2" spans="1:4" x14ac:dyDescent="0.25">
      <c r="A2">
        <v>2023</v>
      </c>
      <c r="B2">
        <v>253152</v>
      </c>
      <c r="C2">
        <v>28242</v>
      </c>
      <c r="D2" s="1">
        <f>C2/B2</f>
        <v>0.11156143344709897</v>
      </c>
    </row>
    <row r="3" spans="1:4" x14ac:dyDescent="0.25">
      <c r="A3">
        <v>2024</v>
      </c>
      <c r="B3">
        <v>827251</v>
      </c>
      <c r="C3">
        <v>131317</v>
      </c>
      <c r="D3" s="1">
        <f t="shared" ref="D3:D5" si="0">C3/B3</f>
        <v>0.15873900424417739</v>
      </c>
    </row>
    <row r="4" spans="1:4" x14ac:dyDescent="0.25">
      <c r="A4">
        <v>2025</v>
      </c>
      <c r="B4">
        <v>686640</v>
      </c>
      <c r="C4">
        <v>167573</v>
      </c>
      <c r="D4" s="1">
        <f t="shared" si="0"/>
        <v>0.24404782710008155</v>
      </c>
    </row>
    <row r="5" spans="1:4" x14ac:dyDescent="0.25">
      <c r="A5" t="s">
        <v>2</v>
      </c>
      <c r="B5">
        <f>B2+B3+B4</f>
        <v>1767043</v>
      </c>
      <c r="C5">
        <f>C2+C3+C4</f>
        <v>327132</v>
      </c>
      <c r="D5" s="1">
        <f t="shared" si="0"/>
        <v>0.18512962050159504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1AE27-E43F-415B-8043-BB7EC61E8EAC}">
  <dimension ref="A1:D5"/>
  <sheetViews>
    <sheetView zoomScale="145" zoomScaleNormal="145" workbookViewId="0">
      <selection activeCell="B1" sqref="B1"/>
    </sheetView>
  </sheetViews>
  <sheetFormatPr defaultRowHeight="15.75" x14ac:dyDescent="0.25"/>
  <cols>
    <col min="1" max="1" width="6" bestFit="1" customWidth="1"/>
    <col min="2" max="2" width="17.5703125" bestFit="1" customWidth="1"/>
    <col min="3" max="3" width="24.42578125" bestFit="1" customWidth="1"/>
    <col min="4" max="4" width="7" bestFit="1" customWidth="1"/>
  </cols>
  <sheetData>
    <row r="1" spans="1:4" x14ac:dyDescent="0.25">
      <c r="A1" t="s">
        <v>0</v>
      </c>
      <c r="B1" t="s">
        <v>7</v>
      </c>
      <c r="C1" t="s">
        <v>8</v>
      </c>
      <c r="D1" t="s">
        <v>1</v>
      </c>
    </row>
    <row r="2" spans="1:4" x14ac:dyDescent="0.25">
      <c r="A2">
        <v>2023</v>
      </c>
      <c r="B2">
        <v>341810</v>
      </c>
      <c r="C2">
        <v>70662</v>
      </c>
      <c r="D2" s="1">
        <f>C2/B2</f>
        <v>0.2067288844679793</v>
      </c>
    </row>
    <row r="3" spans="1:4" x14ac:dyDescent="0.25">
      <c r="A3">
        <v>2024</v>
      </c>
      <c r="B3">
        <v>1213566</v>
      </c>
      <c r="C3">
        <v>312288</v>
      </c>
      <c r="D3" s="1">
        <f t="shared" ref="D3:D5" si="0">C3/B3</f>
        <v>0.2573308744641824</v>
      </c>
    </row>
    <row r="4" spans="1:4" x14ac:dyDescent="0.25">
      <c r="A4">
        <v>2025</v>
      </c>
      <c r="B4">
        <v>1107085</v>
      </c>
      <c r="C4">
        <v>353873</v>
      </c>
      <c r="D4" s="1">
        <f t="shared" si="0"/>
        <v>0.31964392977955625</v>
      </c>
    </row>
    <row r="5" spans="1:4" x14ac:dyDescent="0.25">
      <c r="A5" t="s">
        <v>2</v>
      </c>
      <c r="B5">
        <f>B2+B3+B4</f>
        <v>2662461</v>
      </c>
      <c r="C5">
        <f>C2+C3+C4</f>
        <v>736823</v>
      </c>
      <c r="D5" s="1">
        <f t="shared" si="0"/>
        <v>0.27674508659469566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8BC4C-3540-4A13-85E9-4BAD887665DB}">
  <dimension ref="A1:D29"/>
  <sheetViews>
    <sheetView zoomScale="130" zoomScaleNormal="130" workbookViewId="0">
      <selection activeCell="D17" sqref="D17"/>
    </sheetView>
  </sheetViews>
  <sheetFormatPr defaultRowHeight="15.75" x14ac:dyDescent="0.25"/>
  <cols>
    <col min="1" max="1" width="14.5703125" bestFit="1" customWidth="1"/>
    <col min="2" max="2" width="15.140625" bestFit="1" customWidth="1"/>
    <col min="3" max="3" width="22" bestFit="1" customWidth="1"/>
    <col min="4" max="4" width="9" bestFit="1" customWidth="1"/>
  </cols>
  <sheetData>
    <row r="1" spans="1:4" x14ac:dyDescent="0.25">
      <c r="A1" t="s">
        <v>0</v>
      </c>
      <c r="B1" t="s">
        <v>5</v>
      </c>
      <c r="C1" t="s">
        <v>6</v>
      </c>
      <c r="D1" t="s">
        <v>1</v>
      </c>
    </row>
    <row r="2" spans="1:4" x14ac:dyDescent="0.25">
      <c r="A2" s="2">
        <v>45200</v>
      </c>
      <c r="B2">
        <v>76718</v>
      </c>
      <c r="C2">
        <v>7238</v>
      </c>
      <c r="D2" s="1">
        <f t="shared" ref="D2:D29" si="0">C2/B2</f>
        <v>9.43455251701035E-2</v>
      </c>
    </row>
    <row r="3" spans="1:4" x14ac:dyDescent="0.25">
      <c r="A3" s="2">
        <v>45231</v>
      </c>
      <c r="B3">
        <v>88444</v>
      </c>
      <c r="C3">
        <v>10409</v>
      </c>
      <c r="D3" s="1">
        <f t="shared" si="0"/>
        <v>0.11769028990095427</v>
      </c>
    </row>
    <row r="4" spans="1:4" x14ac:dyDescent="0.25">
      <c r="A4" s="2">
        <v>45261</v>
      </c>
      <c r="B4">
        <v>87990</v>
      </c>
      <c r="C4">
        <v>10595</v>
      </c>
      <c r="D4" s="1">
        <f t="shared" si="0"/>
        <v>0.12041141038754404</v>
      </c>
    </row>
    <row r="5" spans="1:4" x14ac:dyDescent="0.25">
      <c r="A5" s="2">
        <v>45292</v>
      </c>
      <c r="B5">
        <v>78333</v>
      </c>
      <c r="C5">
        <v>8616</v>
      </c>
      <c r="D5" s="1">
        <f t="shared" si="0"/>
        <v>0.10999195741258473</v>
      </c>
    </row>
    <row r="6" spans="1:4" x14ac:dyDescent="0.25">
      <c r="A6" s="2">
        <v>45323</v>
      </c>
      <c r="B6">
        <v>71650</v>
      </c>
      <c r="C6">
        <v>6897</v>
      </c>
      <c r="D6" s="1">
        <f t="shared" si="0"/>
        <v>9.6259595254710395E-2</v>
      </c>
    </row>
    <row r="7" spans="1:4" x14ac:dyDescent="0.25">
      <c r="A7" s="2">
        <v>45352</v>
      </c>
      <c r="B7">
        <v>87262</v>
      </c>
      <c r="C7">
        <v>12632</v>
      </c>
      <c r="D7" s="1">
        <f t="shared" si="0"/>
        <v>0.14475946001696041</v>
      </c>
    </row>
    <row r="8" spans="1:4" x14ac:dyDescent="0.25">
      <c r="A8" s="2">
        <v>45383</v>
      </c>
      <c r="B8">
        <v>42338</v>
      </c>
      <c r="C8">
        <v>8673</v>
      </c>
      <c r="D8" s="1">
        <f t="shared" si="0"/>
        <v>0.20485143370022202</v>
      </c>
    </row>
    <row r="9" spans="1:4" x14ac:dyDescent="0.25">
      <c r="A9" s="2">
        <v>45413</v>
      </c>
      <c r="B9">
        <v>45773</v>
      </c>
      <c r="C9">
        <v>10359</v>
      </c>
      <c r="D9" s="1">
        <f t="shared" si="0"/>
        <v>0.22631245494068555</v>
      </c>
    </row>
    <row r="10" spans="1:4" x14ac:dyDescent="0.25">
      <c r="A10" s="2">
        <v>45444</v>
      </c>
      <c r="B10">
        <v>53716</v>
      </c>
      <c r="C10">
        <v>8198</v>
      </c>
      <c r="D10" s="1">
        <f t="shared" si="0"/>
        <v>0.15261746965522377</v>
      </c>
    </row>
    <row r="11" spans="1:4" x14ac:dyDescent="0.25">
      <c r="A11" s="2">
        <v>45474</v>
      </c>
      <c r="B11">
        <v>47462</v>
      </c>
      <c r="C11">
        <v>6357</v>
      </c>
      <c r="D11" s="1">
        <f t="shared" si="0"/>
        <v>0.13393872993131348</v>
      </c>
    </row>
    <row r="12" spans="1:4" x14ac:dyDescent="0.25">
      <c r="A12" s="2">
        <v>45505</v>
      </c>
      <c r="B12">
        <v>53458</v>
      </c>
      <c r="C12">
        <v>6432</v>
      </c>
      <c r="D12" s="1">
        <f t="shared" si="0"/>
        <v>0.12031875491039695</v>
      </c>
    </row>
    <row r="13" spans="1:4" x14ac:dyDescent="0.25">
      <c r="A13" s="2">
        <v>45536</v>
      </c>
      <c r="B13">
        <v>90420</v>
      </c>
      <c r="C13">
        <v>15941</v>
      </c>
      <c r="D13" s="1">
        <f t="shared" si="0"/>
        <v>0.17629949126299491</v>
      </c>
    </row>
    <row r="14" spans="1:4" x14ac:dyDescent="0.25">
      <c r="A14" s="2">
        <v>45566</v>
      </c>
      <c r="B14">
        <v>61983</v>
      </c>
      <c r="C14">
        <v>11508</v>
      </c>
      <c r="D14" s="1">
        <f t="shared" si="0"/>
        <v>0.18566381104496393</v>
      </c>
    </row>
    <row r="15" spans="1:4" x14ac:dyDescent="0.25">
      <c r="A15" s="2">
        <v>45597</v>
      </c>
      <c r="B15">
        <v>98848</v>
      </c>
      <c r="C15">
        <v>17836</v>
      </c>
      <c r="D15" s="1">
        <f t="shared" si="0"/>
        <v>0.18043865328585304</v>
      </c>
    </row>
    <row r="16" spans="1:4" x14ac:dyDescent="0.25">
      <c r="A16" s="2">
        <v>45627</v>
      </c>
      <c r="B16">
        <v>96008</v>
      </c>
      <c r="C16">
        <v>17868</v>
      </c>
      <c r="D16" s="1">
        <f t="shared" si="0"/>
        <v>0.18610949087576034</v>
      </c>
    </row>
    <row r="17" spans="1:4" x14ac:dyDescent="0.25">
      <c r="A17" s="2">
        <v>45658</v>
      </c>
      <c r="B17">
        <v>47704</v>
      </c>
      <c r="C17">
        <v>8382</v>
      </c>
      <c r="D17" s="1">
        <f t="shared" si="0"/>
        <v>0.17570853597182626</v>
      </c>
    </row>
    <row r="18" spans="1:4" x14ac:dyDescent="0.25">
      <c r="A18" s="2">
        <v>45689</v>
      </c>
      <c r="B18">
        <v>47770</v>
      </c>
      <c r="C18">
        <v>10287</v>
      </c>
      <c r="D18" s="1">
        <f t="shared" si="0"/>
        <v>0.21534435838392296</v>
      </c>
    </row>
    <row r="19" spans="1:4" x14ac:dyDescent="0.25">
      <c r="A19" s="2">
        <v>45717</v>
      </c>
      <c r="B19">
        <v>61487</v>
      </c>
      <c r="C19">
        <v>15553</v>
      </c>
      <c r="D19" s="1">
        <f t="shared" si="0"/>
        <v>0.25294777757900044</v>
      </c>
    </row>
    <row r="20" spans="1:4" x14ac:dyDescent="0.25">
      <c r="A20" s="2">
        <v>45748</v>
      </c>
      <c r="B20">
        <v>63416</v>
      </c>
      <c r="C20">
        <v>14458</v>
      </c>
      <c r="D20" s="1">
        <f t="shared" si="0"/>
        <v>0.22798662798032043</v>
      </c>
    </row>
    <row r="21" spans="1:4" x14ac:dyDescent="0.25">
      <c r="A21" s="2">
        <v>45778</v>
      </c>
      <c r="B21">
        <v>60155</v>
      </c>
      <c r="C21">
        <v>14971</v>
      </c>
      <c r="D21" s="1">
        <f t="shared" si="0"/>
        <v>0.24887374283101987</v>
      </c>
    </row>
    <row r="22" spans="1:4" x14ac:dyDescent="0.25">
      <c r="A22" s="2">
        <v>45809</v>
      </c>
      <c r="B22">
        <v>56400</v>
      </c>
      <c r="C22">
        <v>12635</v>
      </c>
      <c r="D22" s="1">
        <f t="shared" si="0"/>
        <v>0.22402482269503546</v>
      </c>
    </row>
    <row r="23" spans="1:4" x14ac:dyDescent="0.25">
      <c r="A23" s="2">
        <v>45839</v>
      </c>
      <c r="B23">
        <v>49208</v>
      </c>
      <c r="C23">
        <v>9084</v>
      </c>
      <c r="D23" s="1">
        <f t="shared" si="0"/>
        <v>0.18460412940985205</v>
      </c>
    </row>
    <row r="24" spans="1:4" x14ac:dyDescent="0.25">
      <c r="A24" s="2">
        <v>45870</v>
      </c>
      <c r="B24">
        <v>52652</v>
      </c>
      <c r="C24">
        <v>9202</v>
      </c>
      <c r="D24" s="1">
        <f t="shared" si="0"/>
        <v>0.17477018916660336</v>
      </c>
    </row>
    <row r="25" spans="1:4" x14ac:dyDescent="0.25">
      <c r="A25" s="2">
        <v>45901</v>
      </c>
      <c r="B25">
        <v>65171</v>
      </c>
      <c r="C25">
        <v>18690</v>
      </c>
      <c r="D25" s="1">
        <f t="shared" si="0"/>
        <v>0.28678399901796814</v>
      </c>
    </row>
    <row r="26" spans="1:4" x14ac:dyDescent="0.25">
      <c r="A26" s="2">
        <v>45931</v>
      </c>
      <c r="B26">
        <v>67264</v>
      </c>
      <c r="C26">
        <v>20557</v>
      </c>
      <c r="D26" s="1">
        <f t="shared" si="0"/>
        <v>0.30561667459562319</v>
      </c>
    </row>
    <row r="27" spans="1:4" x14ac:dyDescent="0.25">
      <c r="A27" s="2">
        <v>45962</v>
      </c>
      <c r="B27">
        <v>53477</v>
      </c>
      <c r="C27">
        <v>15752</v>
      </c>
      <c r="D27" s="1">
        <f t="shared" si="0"/>
        <v>0.29455653832488732</v>
      </c>
    </row>
    <row r="28" spans="1:4" x14ac:dyDescent="0.25">
      <c r="A28" s="2">
        <v>45992</v>
      </c>
      <c r="B28">
        <v>61936</v>
      </c>
      <c r="C28">
        <v>18002</v>
      </c>
      <c r="D28" s="1">
        <f t="shared" si="0"/>
        <v>0.29065486954275382</v>
      </c>
    </row>
    <row r="29" spans="1:4" x14ac:dyDescent="0.25">
      <c r="A29" t="s">
        <v>2</v>
      </c>
      <c r="B29">
        <f>SUM(B2:B28)</f>
        <v>1767043</v>
      </c>
      <c r="C29">
        <f>SUM(C2:C28)</f>
        <v>327132</v>
      </c>
      <c r="D29" s="1">
        <f t="shared" si="0"/>
        <v>0.18512962050159504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2F7A6-892C-4C8A-ADB5-829278D5ADB4}">
  <dimension ref="A1:D29"/>
  <sheetViews>
    <sheetView zoomScale="130" zoomScaleNormal="130" workbookViewId="0">
      <selection activeCell="D5" sqref="D5"/>
    </sheetView>
  </sheetViews>
  <sheetFormatPr defaultRowHeight="15.75" x14ac:dyDescent="0.25"/>
  <cols>
    <col min="1" max="1" width="8.42578125" bestFit="1" customWidth="1"/>
    <col min="2" max="2" width="17.5703125" bestFit="1" customWidth="1"/>
    <col min="3" max="3" width="24.42578125" bestFit="1" customWidth="1"/>
    <col min="4" max="4" width="7" bestFit="1" customWidth="1"/>
  </cols>
  <sheetData>
    <row r="1" spans="1:4" x14ac:dyDescent="0.25">
      <c r="A1" t="s">
        <v>0</v>
      </c>
      <c r="B1" t="s">
        <v>9</v>
      </c>
      <c r="C1" t="s">
        <v>10</v>
      </c>
      <c r="D1" t="s">
        <v>1</v>
      </c>
    </row>
    <row r="2" spans="1:4" x14ac:dyDescent="0.25">
      <c r="A2" s="2">
        <v>45200</v>
      </c>
      <c r="B2">
        <v>106496</v>
      </c>
      <c r="C2">
        <v>15221</v>
      </c>
      <c r="D2" s="1">
        <f t="shared" ref="D2:D29" si="0">C2/B2</f>
        <v>0.14292555588942307</v>
      </c>
    </row>
    <row r="3" spans="1:4" x14ac:dyDescent="0.25">
      <c r="A3" s="2">
        <v>45231</v>
      </c>
      <c r="B3">
        <v>115762</v>
      </c>
      <c r="C3">
        <v>27014</v>
      </c>
      <c r="D3" s="1">
        <f t="shared" si="0"/>
        <v>0.23335809678478256</v>
      </c>
    </row>
    <row r="4" spans="1:4" x14ac:dyDescent="0.25">
      <c r="A4" s="2">
        <v>45261</v>
      </c>
      <c r="B4">
        <v>119552</v>
      </c>
      <c r="C4">
        <v>28427</v>
      </c>
      <c r="D4" s="1">
        <f t="shared" si="0"/>
        <v>0.23777937633832977</v>
      </c>
    </row>
    <row r="5" spans="1:4" x14ac:dyDescent="0.25">
      <c r="A5" s="2">
        <v>45292</v>
      </c>
      <c r="B5">
        <v>109883</v>
      </c>
      <c r="C5">
        <v>24853</v>
      </c>
      <c r="D5" s="1">
        <f t="shared" si="0"/>
        <v>0.22617693364760699</v>
      </c>
    </row>
    <row r="6" spans="1:4" x14ac:dyDescent="0.25">
      <c r="A6" s="2">
        <v>45323</v>
      </c>
      <c r="B6">
        <v>72237</v>
      </c>
      <c r="C6">
        <v>13734</v>
      </c>
      <c r="D6" s="1">
        <f t="shared" si="0"/>
        <v>0.19012417459196809</v>
      </c>
    </row>
    <row r="7" spans="1:4" x14ac:dyDescent="0.25">
      <c r="A7" s="2">
        <v>45352</v>
      </c>
      <c r="B7">
        <v>117017</v>
      </c>
      <c r="C7">
        <v>32038</v>
      </c>
      <c r="D7" s="1">
        <f t="shared" si="0"/>
        <v>0.27378927848090451</v>
      </c>
    </row>
    <row r="8" spans="1:4" x14ac:dyDescent="0.25">
      <c r="A8" s="2">
        <v>45383</v>
      </c>
      <c r="B8">
        <v>109429</v>
      </c>
      <c r="C8">
        <v>29937</v>
      </c>
      <c r="D8" s="1">
        <f t="shared" si="0"/>
        <v>0.27357464657449121</v>
      </c>
    </row>
    <row r="9" spans="1:4" x14ac:dyDescent="0.25">
      <c r="A9" s="2">
        <v>45413</v>
      </c>
      <c r="B9">
        <v>114418</v>
      </c>
      <c r="C9">
        <v>35564</v>
      </c>
      <c r="D9" s="1">
        <f t="shared" si="0"/>
        <v>0.31082521980807215</v>
      </c>
    </row>
    <row r="10" spans="1:4" x14ac:dyDescent="0.25">
      <c r="A10" s="2">
        <v>45444</v>
      </c>
      <c r="B10">
        <v>85563</v>
      </c>
      <c r="C10">
        <v>20826</v>
      </c>
      <c r="D10" s="1">
        <f t="shared" si="0"/>
        <v>0.24339960029451982</v>
      </c>
    </row>
    <row r="11" spans="1:4" x14ac:dyDescent="0.25">
      <c r="A11" s="2">
        <v>45474</v>
      </c>
      <c r="B11">
        <v>75228</v>
      </c>
      <c r="C11">
        <v>13706</v>
      </c>
      <c r="D11" s="1">
        <f t="shared" si="0"/>
        <v>0.18219280055298559</v>
      </c>
    </row>
    <row r="12" spans="1:4" x14ac:dyDescent="0.25">
      <c r="A12" s="2">
        <v>45505</v>
      </c>
      <c r="B12">
        <v>92022</v>
      </c>
      <c r="C12">
        <v>15150</v>
      </c>
      <c r="D12" s="1">
        <f t="shared" si="0"/>
        <v>0.16463454391341201</v>
      </c>
    </row>
    <row r="13" spans="1:4" x14ac:dyDescent="0.25">
      <c r="A13" s="2">
        <v>45536</v>
      </c>
      <c r="B13">
        <v>109676</v>
      </c>
      <c r="C13">
        <v>30360</v>
      </c>
      <c r="D13" s="1">
        <f t="shared" si="0"/>
        <v>0.27681534702213795</v>
      </c>
    </row>
    <row r="14" spans="1:4" x14ac:dyDescent="0.25">
      <c r="A14" s="2">
        <v>45566</v>
      </c>
      <c r="B14">
        <v>95869</v>
      </c>
      <c r="C14">
        <v>27977</v>
      </c>
      <c r="D14" s="1">
        <f t="shared" si="0"/>
        <v>0.29182530327843204</v>
      </c>
    </row>
    <row r="15" spans="1:4" x14ac:dyDescent="0.25">
      <c r="A15" s="2">
        <v>45597</v>
      </c>
      <c r="B15">
        <v>116445</v>
      </c>
      <c r="C15">
        <v>32290</v>
      </c>
      <c r="D15" s="1">
        <f t="shared" si="0"/>
        <v>0.27729829533256045</v>
      </c>
    </row>
    <row r="16" spans="1:4" x14ac:dyDescent="0.25">
      <c r="A16" s="2">
        <v>45627</v>
      </c>
      <c r="B16">
        <v>115779</v>
      </c>
      <c r="C16">
        <v>35853</v>
      </c>
      <c r="D16" s="1">
        <f t="shared" si="0"/>
        <v>0.30966755629259191</v>
      </c>
    </row>
    <row r="17" spans="1:4" x14ac:dyDescent="0.25">
      <c r="A17" s="2">
        <v>45658</v>
      </c>
      <c r="B17">
        <v>84352</v>
      </c>
      <c r="C17">
        <v>24241</v>
      </c>
      <c r="D17" s="1">
        <f t="shared" si="0"/>
        <v>0.28737907814871017</v>
      </c>
    </row>
    <row r="18" spans="1:4" x14ac:dyDescent="0.25">
      <c r="A18" s="2">
        <v>45689</v>
      </c>
      <c r="B18">
        <v>80056</v>
      </c>
      <c r="C18">
        <v>23787</v>
      </c>
      <c r="D18" s="1">
        <f t="shared" si="0"/>
        <v>0.29712950934345955</v>
      </c>
    </row>
    <row r="19" spans="1:4" x14ac:dyDescent="0.25">
      <c r="A19" s="2">
        <v>45717</v>
      </c>
      <c r="B19">
        <v>100017</v>
      </c>
      <c r="C19">
        <v>34859</v>
      </c>
      <c r="D19" s="1">
        <f t="shared" si="0"/>
        <v>0.34853074977253867</v>
      </c>
    </row>
    <row r="20" spans="1:4" x14ac:dyDescent="0.25">
      <c r="A20" s="2">
        <v>45748</v>
      </c>
      <c r="B20">
        <v>146873</v>
      </c>
      <c r="C20">
        <v>53047</v>
      </c>
      <c r="D20" s="1">
        <f t="shared" si="0"/>
        <v>0.36117598197081835</v>
      </c>
    </row>
    <row r="21" spans="1:4" x14ac:dyDescent="0.25">
      <c r="A21" s="2">
        <v>45778</v>
      </c>
      <c r="B21">
        <v>97765</v>
      </c>
      <c r="C21">
        <v>33855</v>
      </c>
      <c r="D21" s="1">
        <f t="shared" si="0"/>
        <v>0.34628957193269577</v>
      </c>
    </row>
    <row r="22" spans="1:4" x14ac:dyDescent="0.25">
      <c r="A22" s="2">
        <v>45809</v>
      </c>
      <c r="B22">
        <v>94287</v>
      </c>
      <c r="C22">
        <v>30023</v>
      </c>
      <c r="D22" s="1">
        <f t="shared" si="0"/>
        <v>0.3184214154655467</v>
      </c>
    </row>
    <row r="23" spans="1:4" x14ac:dyDescent="0.25">
      <c r="A23" s="2">
        <v>45839</v>
      </c>
      <c r="B23">
        <v>75611</v>
      </c>
      <c r="C23">
        <v>17387</v>
      </c>
      <c r="D23" s="1">
        <f t="shared" si="0"/>
        <v>0.22995331367129121</v>
      </c>
    </row>
    <row r="24" spans="1:4" x14ac:dyDescent="0.25">
      <c r="A24" s="2">
        <v>45870</v>
      </c>
      <c r="B24">
        <v>79855</v>
      </c>
      <c r="C24">
        <v>15839</v>
      </c>
      <c r="D24" s="1">
        <f t="shared" si="0"/>
        <v>0.19834700394464969</v>
      </c>
    </row>
    <row r="25" spans="1:4" x14ac:dyDescent="0.25">
      <c r="A25" s="2">
        <v>45901</v>
      </c>
      <c r="B25">
        <v>92947</v>
      </c>
      <c r="C25">
        <v>34462</v>
      </c>
      <c r="D25" s="1">
        <f t="shared" si="0"/>
        <v>0.37077043906742552</v>
      </c>
    </row>
    <row r="26" spans="1:4" x14ac:dyDescent="0.25">
      <c r="A26" s="2">
        <v>45931</v>
      </c>
      <c r="B26">
        <v>105195</v>
      </c>
      <c r="C26">
        <v>36943</v>
      </c>
      <c r="D26" s="1">
        <f t="shared" si="0"/>
        <v>0.35118589286563051</v>
      </c>
    </row>
    <row r="27" spans="1:4" x14ac:dyDescent="0.25">
      <c r="A27" s="2">
        <v>45962</v>
      </c>
      <c r="B27">
        <v>47673</v>
      </c>
      <c r="C27">
        <v>12462</v>
      </c>
      <c r="D27" s="1">
        <f t="shared" si="0"/>
        <v>0.26140582719778493</v>
      </c>
    </row>
    <row r="28" spans="1:4" x14ac:dyDescent="0.25">
      <c r="A28" s="2">
        <v>45992</v>
      </c>
      <c r="B28">
        <v>102454</v>
      </c>
      <c r="C28">
        <v>36968</v>
      </c>
      <c r="D28" s="1">
        <f t="shared" si="0"/>
        <v>0.36082534600894062</v>
      </c>
    </row>
    <row r="29" spans="1:4" x14ac:dyDescent="0.25">
      <c r="A29" t="s">
        <v>2</v>
      </c>
      <c r="B29">
        <f>SUM(B2:B28)</f>
        <v>2662461</v>
      </c>
      <c r="C29">
        <f>SUM(C2:C28)</f>
        <v>736823</v>
      </c>
      <c r="D29" s="1">
        <f t="shared" si="0"/>
        <v>0.27674508659469566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21E49-0E39-4D69-950B-56797B1ADAAE}">
  <dimension ref="A1:D5"/>
  <sheetViews>
    <sheetView zoomScale="145" zoomScaleNormal="145" workbookViewId="0">
      <selection activeCell="B1" sqref="B1"/>
    </sheetView>
  </sheetViews>
  <sheetFormatPr defaultRowHeight="15.75" x14ac:dyDescent="0.25"/>
  <cols>
    <col min="1" max="1" width="6" bestFit="1" customWidth="1"/>
    <col min="2" max="2" width="27.140625" bestFit="1" customWidth="1"/>
    <col min="3" max="3" width="34.140625" bestFit="1" customWidth="1"/>
    <col min="4" max="4" width="8.5703125" bestFit="1" customWidth="1"/>
  </cols>
  <sheetData>
    <row r="1" spans="1:4" x14ac:dyDescent="0.25">
      <c r="A1" t="s">
        <v>0</v>
      </c>
      <c r="B1" t="s">
        <v>11</v>
      </c>
      <c r="C1" t="s">
        <v>12</v>
      </c>
      <c r="D1" t="s">
        <v>1</v>
      </c>
    </row>
    <row r="2" spans="1:4" x14ac:dyDescent="0.25">
      <c r="A2">
        <v>2023</v>
      </c>
      <c r="B2">
        <v>132204</v>
      </c>
      <c r="C2">
        <v>14033</v>
      </c>
      <c r="D2" s="1">
        <f>C2/B2</f>
        <v>0.10614656137484493</v>
      </c>
    </row>
    <row r="3" spans="1:4" x14ac:dyDescent="0.25">
      <c r="A3">
        <v>2024</v>
      </c>
      <c r="B3">
        <v>376407</v>
      </c>
      <c r="C3">
        <v>56592</v>
      </c>
      <c r="D3" s="1">
        <f t="shared" ref="D3:D5" si="0">C3/B3</f>
        <v>0.15034789469908902</v>
      </c>
    </row>
    <row r="4" spans="1:4" x14ac:dyDescent="0.25">
      <c r="A4">
        <v>2025</v>
      </c>
      <c r="B4">
        <v>326583</v>
      </c>
      <c r="C4">
        <v>98570</v>
      </c>
      <c r="D4" s="1">
        <f t="shared" si="0"/>
        <v>0.30182220140056282</v>
      </c>
    </row>
    <row r="5" spans="1:4" x14ac:dyDescent="0.25">
      <c r="A5" t="s">
        <v>2</v>
      </c>
      <c r="B5">
        <f>B2+B3+B4</f>
        <v>835194</v>
      </c>
      <c r="C5">
        <f>C2+C3+C4</f>
        <v>169195</v>
      </c>
      <c r="D5" s="1">
        <f t="shared" si="0"/>
        <v>0.20258167563464297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F9AA2-A43C-402B-8781-9D837168AC16}">
  <dimension ref="A1:D5"/>
  <sheetViews>
    <sheetView zoomScale="145" zoomScaleNormal="145" workbookViewId="0">
      <selection activeCell="B3" sqref="B3"/>
    </sheetView>
  </sheetViews>
  <sheetFormatPr defaultRowHeight="15.75" x14ac:dyDescent="0.25"/>
  <cols>
    <col min="1" max="1" width="6" bestFit="1" customWidth="1"/>
    <col min="2" max="2" width="27.140625" bestFit="1" customWidth="1"/>
    <col min="3" max="3" width="34.140625" bestFit="1" customWidth="1"/>
    <col min="4" max="4" width="7" bestFit="1" customWidth="1"/>
  </cols>
  <sheetData>
    <row r="1" spans="1:4" x14ac:dyDescent="0.25">
      <c r="A1" t="s">
        <v>0</v>
      </c>
      <c r="B1" t="s">
        <v>13</v>
      </c>
      <c r="C1" t="s">
        <v>14</v>
      </c>
      <c r="D1" t="s">
        <v>1</v>
      </c>
    </row>
    <row r="2" spans="1:4" x14ac:dyDescent="0.25">
      <c r="A2">
        <v>2023</v>
      </c>
      <c r="B2">
        <v>31471</v>
      </c>
      <c r="C2">
        <v>4071</v>
      </c>
      <c r="D2" s="1">
        <f>C2/B2</f>
        <v>0.12935718598074417</v>
      </c>
    </row>
    <row r="3" spans="1:4" x14ac:dyDescent="0.25">
      <c r="A3">
        <v>2024</v>
      </c>
      <c r="B3">
        <v>147636</v>
      </c>
      <c r="C3">
        <v>20893</v>
      </c>
      <c r="D3" s="1">
        <f t="shared" ref="D3:D5" si="0">C3/B3</f>
        <v>0.14151697417973935</v>
      </c>
    </row>
    <row r="4" spans="1:4" x14ac:dyDescent="0.25">
      <c r="A4">
        <v>2025</v>
      </c>
      <c r="B4">
        <v>158345</v>
      </c>
      <c r="C4">
        <v>29947</v>
      </c>
      <c r="D4" s="1">
        <f t="shared" si="0"/>
        <v>0.18912501184123276</v>
      </c>
    </row>
    <row r="5" spans="1:4" x14ac:dyDescent="0.25">
      <c r="A5" t="s">
        <v>2</v>
      </c>
      <c r="B5">
        <f>B2+B3+B4</f>
        <v>337452</v>
      </c>
      <c r="C5">
        <f>C2+C3+C4</f>
        <v>54911</v>
      </c>
      <c r="D5" s="1">
        <f t="shared" si="0"/>
        <v>0.16272240200087718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C13D6-4FA2-48D8-80B3-2C18CABC0FBE}">
  <dimension ref="A1:D29"/>
  <sheetViews>
    <sheetView zoomScale="130" zoomScaleNormal="130" workbookViewId="0">
      <selection activeCell="D21" sqref="D21"/>
    </sheetView>
  </sheetViews>
  <sheetFormatPr defaultRowHeight="15.75" x14ac:dyDescent="0.25"/>
  <cols>
    <col min="1" max="1" width="8.42578125" bestFit="1" customWidth="1"/>
    <col min="2" max="2" width="27.140625" bestFit="1" customWidth="1"/>
    <col min="3" max="3" width="34.140625" bestFit="1" customWidth="1"/>
    <col min="4" max="4" width="7" bestFit="1" customWidth="1"/>
  </cols>
  <sheetData>
    <row r="1" spans="1:4" x14ac:dyDescent="0.25">
      <c r="A1" t="s">
        <v>0</v>
      </c>
      <c r="B1" t="s">
        <v>15</v>
      </c>
      <c r="C1" t="s">
        <v>16</v>
      </c>
      <c r="D1" t="s">
        <v>1</v>
      </c>
    </row>
    <row r="2" spans="1:4" x14ac:dyDescent="0.25">
      <c r="A2" s="2">
        <v>45200</v>
      </c>
      <c r="B2">
        <v>37622</v>
      </c>
      <c r="C2">
        <v>3316</v>
      </c>
      <c r="D2" s="1">
        <f t="shared" ref="D2:D29" si="0">C2/B2</f>
        <v>8.8139918133007283E-2</v>
      </c>
    </row>
    <row r="3" spans="1:4" x14ac:dyDescent="0.25">
      <c r="A3" s="2">
        <v>45231</v>
      </c>
      <c r="B3">
        <v>45675</v>
      </c>
      <c r="C3">
        <v>5050</v>
      </c>
      <c r="D3" s="1">
        <f t="shared" si="0"/>
        <v>0.11056376573617953</v>
      </c>
    </row>
    <row r="4" spans="1:4" x14ac:dyDescent="0.25">
      <c r="A4" s="2">
        <v>45261</v>
      </c>
      <c r="B4">
        <v>48907</v>
      </c>
      <c r="C4">
        <v>5667</v>
      </c>
      <c r="D4" s="1">
        <f t="shared" si="0"/>
        <v>0.11587298341750669</v>
      </c>
    </row>
    <row r="5" spans="1:4" x14ac:dyDescent="0.25">
      <c r="A5" s="2">
        <v>45292</v>
      </c>
      <c r="B5">
        <v>41125</v>
      </c>
      <c r="C5">
        <v>3815</v>
      </c>
      <c r="D5" s="1">
        <f t="shared" si="0"/>
        <v>9.2765957446808517E-2</v>
      </c>
    </row>
    <row r="6" spans="1:4" x14ac:dyDescent="0.25">
      <c r="A6" s="2">
        <v>45323</v>
      </c>
      <c r="B6">
        <v>41267</v>
      </c>
      <c r="C6">
        <v>3726</v>
      </c>
      <c r="D6" s="1">
        <f t="shared" si="0"/>
        <v>9.0290062277364483E-2</v>
      </c>
    </row>
    <row r="7" spans="1:4" x14ac:dyDescent="0.25">
      <c r="A7" s="2">
        <v>45352</v>
      </c>
      <c r="B7">
        <v>48555</v>
      </c>
      <c r="C7">
        <v>6360</v>
      </c>
      <c r="D7" s="1">
        <f t="shared" si="0"/>
        <v>0.13098548038307076</v>
      </c>
    </row>
    <row r="8" spans="1:4" x14ac:dyDescent="0.25">
      <c r="A8" s="2">
        <v>45383</v>
      </c>
      <c r="B8">
        <v>14050</v>
      </c>
      <c r="C8">
        <v>3214</v>
      </c>
      <c r="D8" s="1">
        <f t="shared" si="0"/>
        <v>0.2287544483985765</v>
      </c>
    </row>
    <row r="9" spans="1:4" x14ac:dyDescent="0.25">
      <c r="A9" s="2">
        <v>45413</v>
      </c>
      <c r="B9">
        <v>15519</v>
      </c>
      <c r="C9">
        <v>4025</v>
      </c>
      <c r="D9" s="1">
        <f t="shared" si="0"/>
        <v>0.25935949481281012</v>
      </c>
    </row>
    <row r="10" spans="1:4" x14ac:dyDescent="0.25">
      <c r="A10" s="2">
        <v>45444</v>
      </c>
      <c r="B10">
        <v>25233</v>
      </c>
      <c r="C10">
        <v>3444</v>
      </c>
      <c r="D10" s="1">
        <f t="shared" si="0"/>
        <v>0.13648793246938534</v>
      </c>
    </row>
    <row r="11" spans="1:4" x14ac:dyDescent="0.25">
      <c r="A11" s="2">
        <v>45474</v>
      </c>
      <c r="B11">
        <v>20800</v>
      </c>
      <c r="C11">
        <v>2778</v>
      </c>
      <c r="D11" s="1">
        <f t="shared" si="0"/>
        <v>0.13355769230769229</v>
      </c>
    </row>
    <row r="12" spans="1:4" x14ac:dyDescent="0.25">
      <c r="A12" s="2">
        <v>45505</v>
      </c>
      <c r="B12">
        <v>25770</v>
      </c>
      <c r="C12">
        <v>2889</v>
      </c>
      <c r="D12" s="1">
        <f t="shared" si="0"/>
        <v>0.11210710128055879</v>
      </c>
    </row>
    <row r="13" spans="1:4" x14ac:dyDescent="0.25">
      <c r="A13" s="2">
        <v>45536</v>
      </c>
      <c r="B13">
        <v>35987</v>
      </c>
      <c r="C13">
        <v>5498</v>
      </c>
      <c r="D13" s="1">
        <f t="shared" si="0"/>
        <v>0.15277739183594075</v>
      </c>
    </row>
    <row r="14" spans="1:4" x14ac:dyDescent="0.25">
      <c r="A14" s="2">
        <v>45566</v>
      </c>
      <c r="B14">
        <v>33201</v>
      </c>
      <c r="C14">
        <v>6126</v>
      </c>
      <c r="D14" s="1">
        <f t="shared" si="0"/>
        <v>0.18451251468329266</v>
      </c>
    </row>
    <row r="15" spans="1:4" x14ac:dyDescent="0.25">
      <c r="A15" s="2">
        <v>45597</v>
      </c>
      <c r="B15">
        <v>35521</v>
      </c>
      <c r="C15">
        <v>6875</v>
      </c>
      <c r="D15" s="1">
        <f t="shared" si="0"/>
        <v>0.19354747895611046</v>
      </c>
    </row>
    <row r="16" spans="1:4" x14ac:dyDescent="0.25">
      <c r="A16" s="2">
        <v>45627</v>
      </c>
      <c r="B16">
        <v>39379</v>
      </c>
      <c r="C16">
        <v>7842</v>
      </c>
      <c r="D16" s="1">
        <f t="shared" si="0"/>
        <v>0.19914167449655909</v>
      </c>
    </row>
    <row r="17" spans="1:4" x14ac:dyDescent="0.25">
      <c r="A17" s="2">
        <v>45658</v>
      </c>
      <c r="B17">
        <v>21619</v>
      </c>
      <c r="C17">
        <v>4258</v>
      </c>
      <c r="D17" s="1">
        <f t="shared" si="0"/>
        <v>0.19695638096119156</v>
      </c>
    </row>
    <row r="18" spans="1:4" x14ac:dyDescent="0.25">
      <c r="A18" s="2">
        <v>45689</v>
      </c>
      <c r="B18">
        <v>22094</v>
      </c>
      <c r="C18">
        <v>5695</v>
      </c>
      <c r="D18" s="1">
        <f t="shared" si="0"/>
        <v>0.2577622884040916</v>
      </c>
    </row>
    <row r="19" spans="1:4" x14ac:dyDescent="0.25">
      <c r="A19" s="2">
        <v>45717</v>
      </c>
      <c r="B19">
        <v>29234</v>
      </c>
      <c r="C19">
        <v>8880</v>
      </c>
      <c r="D19" s="1">
        <f t="shared" si="0"/>
        <v>0.30375590066361086</v>
      </c>
    </row>
    <row r="20" spans="1:4" x14ac:dyDescent="0.25">
      <c r="A20" s="2">
        <v>45748</v>
      </c>
      <c r="B20">
        <v>29369</v>
      </c>
      <c r="C20">
        <v>7872</v>
      </c>
      <c r="D20" s="1">
        <f t="shared" si="0"/>
        <v>0.26803772685484695</v>
      </c>
    </row>
    <row r="21" spans="1:4" x14ac:dyDescent="0.25">
      <c r="A21" s="2">
        <v>45778</v>
      </c>
      <c r="B21">
        <v>28146</v>
      </c>
      <c r="C21">
        <v>8375</v>
      </c>
      <c r="D21" s="1">
        <f t="shared" si="0"/>
        <v>0.29755560292759187</v>
      </c>
    </row>
    <row r="22" spans="1:4" x14ac:dyDescent="0.25">
      <c r="A22" s="2">
        <v>45809</v>
      </c>
      <c r="B22">
        <v>26383</v>
      </c>
      <c r="C22">
        <v>6828</v>
      </c>
      <c r="D22" s="1">
        <f t="shared" si="0"/>
        <v>0.25880301709434106</v>
      </c>
    </row>
    <row r="23" spans="1:4" x14ac:dyDescent="0.25">
      <c r="A23" s="2">
        <v>45839</v>
      </c>
      <c r="B23">
        <v>20568</v>
      </c>
      <c r="C23">
        <v>4538</v>
      </c>
      <c r="D23" s="1">
        <f t="shared" si="0"/>
        <v>0.22063399455464799</v>
      </c>
    </row>
    <row r="24" spans="1:4" x14ac:dyDescent="0.25">
      <c r="A24" s="2">
        <v>45870</v>
      </c>
      <c r="B24">
        <v>23101</v>
      </c>
      <c r="C24">
        <v>5345</v>
      </c>
      <c r="D24" s="1">
        <f t="shared" si="0"/>
        <v>0.23137526514003723</v>
      </c>
    </row>
    <row r="25" spans="1:4" x14ac:dyDescent="0.25">
      <c r="A25" s="2">
        <v>45901</v>
      </c>
      <c r="B25">
        <v>33980</v>
      </c>
      <c r="C25">
        <v>12165</v>
      </c>
      <c r="D25" s="1">
        <f t="shared" si="0"/>
        <v>0.35800470865214834</v>
      </c>
    </row>
    <row r="26" spans="1:4" x14ac:dyDescent="0.25">
      <c r="A26" s="2">
        <v>45931</v>
      </c>
      <c r="B26">
        <v>35108</v>
      </c>
      <c r="C26">
        <v>13900</v>
      </c>
      <c r="D26" s="1">
        <f t="shared" si="0"/>
        <v>0.395921157570924</v>
      </c>
    </row>
    <row r="27" spans="1:4" x14ac:dyDescent="0.25">
      <c r="A27" s="2">
        <v>45962</v>
      </c>
      <c r="B27">
        <v>26906</v>
      </c>
      <c r="C27">
        <v>9808</v>
      </c>
      <c r="D27" s="1">
        <f t="shared" si="0"/>
        <v>0.36452835798706607</v>
      </c>
    </row>
    <row r="28" spans="1:4" x14ac:dyDescent="0.25">
      <c r="A28" s="2">
        <v>45992</v>
      </c>
      <c r="B28">
        <v>30075</v>
      </c>
      <c r="C28">
        <v>10906</v>
      </c>
      <c r="D28" s="1">
        <f t="shared" si="0"/>
        <v>0.36262676641729008</v>
      </c>
    </row>
    <row r="29" spans="1:4" x14ac:dyDescent="0.25">
      <c r="A29" t="s">
        <v>2</v>
      </c>
      <c r="B29">
        <f>SUM(B2:B28)</f>
        <v>835194</v>
      </c>
      <c r="C29">
        <f>SUM(C2:C28)</f>
        <v>169195</v>
      </c>
      <c r="D29" s="1">
        <f t="shared" si="0"/>
        <v>0.20258167563464297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E76C7-DC4A-4ACA-8FF1-7F390820AEA8}">
  <dimension ref="A1:D29"/>
  <sheetViews>
    <sheetView zoomScale="130" zoomScaleNormal="130" workbookViewId="0">
      <selection activeCell="D29" sqref="D29"/>
    </sheetView>
  </sheetViews>
  <sheetFormatPr defaultRowHeight="15.75" x14ac:dyDescent="0.25"/>
  <cols>
    <col min="1" max="1" width="8.42578125" bestFit="1" customWidth="1"/>
    <col min="2" max="2" width="27.140625" bestFit="1" customWidth="1"/>
    <col min="3" max="3" width="34.140625" bestFit="1" customWidth="1"/>
    <col min="4" max="4" width="7" bestFit="1" customWidth="1"/>
  </cols>
  <sheetData>
    <row r="1" spans="1:4" x14ac:dyDescent="0.25">
      <c r="A1" t="s">
        <v>0</v>
      </c>
      <c r="B1" t="s">
        <v>17</v>
      </c>
      <c r="C1" t="s">
        <v>18</v>
      </c>
      <c r="D1" t="s">
        <v>1</v>
      </c>
    </row>
    <row r="2" spans="1:4" x14ac:dyDescent="0.25">
      <c r="A2" s="2">
        <v>45200</v>
      </c>
      <c r="B2">
        <v>10389</v>
      </c>
      <c r="C2">
        <v>1085</v>
      </c>
      <c r="D2" s="1">
        <f t="shared" ref="D2:D29" si="0">C2/B2</f>
        <v>0.10443738569640966</v>
      </c>
    </row>
    <row r="3" spans="1:4" x14ac:dyDescent="0.25">
      <c r="A3" s="2">
        <v>45231</v>
      </c>
      <c r="B3">
        <v>10684</v>
      </c>
      <c r="C3">
        <v>1478</v>
      </c>
      <c r="D3" s="1">
        <f t="shared" si="0"/>
        <v>0.13833770123549233</v>
      </c>
    </row>
    <row r="4" spans="1:4" x14ac:dyDescent="0.25">
      <c r="A4" s="2">
        <v>45261</v>
      </c>
      <c r="B4">
        <v>10398</v>
      </c>
      <c r="C4">
        <v>1508</v>
      </c>
      <c r="D4" s="1">
        <f t="shared" si="0"/>
        <v>0.14502788997884208</v>
      </c>
    </row>
    <row r="5" spans="1:4" x14ac:dyDescent="0.25">
      <c r="A5" s="2">
        <v>45292</v>
      </c>
      <c r="B5">
        <v>9205</v>
      </c>
      <c r="C5">
        <v>1191</v>
      </c>
      <c r="D5" s="1">
        <f t="shared" si="0"/>
        <v>0.1293862031504617</v>
      </c>
    </row>
    <row r="6" spans="1:4" x14ac:dyDescent="0.25">
      <c r="A6" s="2">
        <v>45323</v>
      </c>
      <c r="B6">
        <v>9003</v>
      </c>
      <c r="C6">
        <v>884</v>
      </c>
      <c r="D6" s="1">
        <f t="shared" si="0"/>
        <v>9.8189492391425076E-2</v>
      </c>
    </row>
    <row r="7" spans="1:4" x14ac:dyDescent="0.25">
      <c r="A7" s="2">
        <v>45352</v>
      </c>
      <c r="B7">
        <v>10628</v>
      </c>
      <c r="C7">
        <v>1770</v>
      </c>
      <c r="D7" s="1">
        <f t="shared" si="0"/>
        <v>0.16654121189311252</v>
      </c>
    </row>
    <row r="8" spans="1:4" x14ac:dyDescent="0.25">
      <c r="A8" s="2">
        <v>45383</v>
      </c>
      <c r="B8">
        <v>10965</v>
      </c>
      <c r="C8">
        <v>1869</v>
      </c>
      <c r="D8" s="1">
        <f t="shared" si="0"/>
        <v>0.1704514363885089</v>
      </c>
    </row>
    <row r="9" spans="1:4" x14ac:dyDescent="0.25">
      <c r="A9" s="2">
        <v>45413</v>
      </c>
      <c r="B9">
        <v>11458</v>
      </c>
      <c r="C9">
        <v>2208</v>
      </c>
      <c r="D9" s="1">
        <f t="shared" si="0"/>
        <v>0.19270378774655264</v>
      </c>
    </row>
    <row r="10" spans="1:4" x14ac:dyDescent="0.25">
      <c r="A10" s="2">
        <v>45444</v>
      </c>
      <c r="B10">
        <v>12311</v>
      </c>
      <c r="C10">
        <v>1549</v>
      </c>
      <c r="D10" s="1">
        <f t="shared" si="0"/>
        <v>0.12582243522053449</v>
      </c>
    </row>
    <row r="11" spans="1:4" x14ac:dyDescent="0.25">
      <c r="A11" s="2">
        <v>45474</v>
      </c>
      <c r="B11">
        <v>11518</v>
      </c>
      <c r="C11">
        <v>852</v>
      </c>
      <c r="D11" s="1">
        <f t="shared" si="0"/>
        <v>7.3971175551310997E-2</v>
      </c>
    </row>
    <row r="12" spans="1:4" x14ac:dyDescent="0.25">
      <c r="A12" s="2">
        <v>45505</v>
      </c>
      <c r="B12">
        <v>14745</v>
      </c>
      <c r="C12">
        <v>988</v>
      </c>
      <c r="D12" s="1">
        <f t="shared" si="0"/>
        <v>6.7005764665988468E-2</v>
      </c>
    </row>
    <row r="13" spans="1:4" x14ac:dyDescent="0.25">
      <c r="A13" s="2">
        <v>45536</v>
      </c>
      <c r="B13">
        <v>14435</v>
      </c>
      <c r="C13">
        <v>2266</v>
      </c>
      <c r="D13" s="1">
        <f t="shared" si="0"/>
        <v>0.15697956356078974</v>
      </c>
    </row>
    <row r="14" spans="1:4" x14ac:dyDescent="0.25">
      <c r="A14" s="2">
        <v>45566</v>
      </c>
      <c r="B14">
        <v>13452</v>
      </c>
      <c r="C14">
        <v>2082</v>
      </c>
      <c r="D14" s="1">
        <f t="shared" si="0"/>
        <v>0.15477252453166815</v>
      </c>
    </row>
    <row r="15" spans="1:4" x14ac:dyDescent="0.25">
      <c r="A15" s="2">
        <v>45597</v>
      </c>
      <c r="B15">
        <v>16159</v>
      </c>
      <c r="C15">
        <v>2343</v>
      </c>
      <c r="D15" s="1">
        <f t="shared" si="0"/>
        <v>0.14499659632402995</v>
      </c>
    </row>
    <row r="16" spans="1:4" x14ac:dyDescent="0.25">
      <c r="A16" s="2">
        <v>45627</v>
      </c>
      <c r="B16">
        <v>13757</v>
      </c>
      <c r="C16">
        <v>2891</v>
      </c>
      <c r="D16" s="1">
        <f t="shared" si="0"/>
        <v>0.21014756124154976</v>
      </c>
    </row>
    <row r="17" spans="1:4" x14ac:dyDescent="0.25">
      <c r="A17" s="2">
        <v>45658</v>
      </c>
      <c r="B17">
        <v>10939</v>
      </c>
      <c r="C17">
        <v>1895</v>
      </c>
      <c r="D17" s="1">
        <f t="shared" si="0"/>
        <v>0.17323338513575282</v>
      </c>
    </row>
    <row r="18" spans="1:4" x14ac:dyDescent="0.25">
      <c r="A18" s="2">
        <v>45689</v>
      </c>
      <c r="B18">
        <v>10140</v>
      </c>
      <c r="C18">
        <v>1890</v>
      </c>
      <c r="D18" s="1">
        <f t="shared" si="0"/>
        <v>0.18639053254437871</v>
      </c>
    </row>
    <row r="19" spans="1:4" x14ac:dyDescent="0.25">
      <c r="A19" s="2">
        <v>45717</v>
      </c>
      <c r="B19">
        <v>12206</v>
      </c>
      <c r="C19">
        <v>2716</v>
      </c>
      <c r="D19" s="1">
        <f t="shared" si="0"/>
        <v>0.22251351794199575</v>
      </c>
    </row>
    <row r="20" spans="1:4" x14ac:dyDescent="0.25">
      <c r="A20" s="2">
        <v>45748</v>
      </c>
      <c r="B20">
        <v>14381</v>
      </c>
      <c r="C20">
        <v>2705</v>
      </c>
      <c r="D20" s="1">
        <f t="shared" si="0"/>
        <v>0.18809540365760377</v>
      </c>
    </row>
    <row r="21" spans="1:4" x14ac:dyDescent="0.25">
      <c r="A21" s="2">
        <v>45778</v>
      </c>
      <c r="B21">
        <v>14841</v>
      </c>
      <c r="C21">
        <v>2799</v>
      </c>
      <c r="D21" s="1">
        <f t="shared" si="0"/>
        <v>0.18859915100060642</v>
      </c>
    </row>
    <row r="22" spans="1:4" x14ac:dyDescent="0.25">
      <c r="A22" s="2">
        <v>45809</v>
      </c>
      <c r="B22">
        <v>15133</v>
      </c>
      <c r="C22">
        <v>2937</v>
      </c>
      <c r="D22" s="1">
        <f t="shared" si="0"/>
        <v>0.19407916473931144</v>
      </c>
    </row>
    <row r="23" spans="1:4" x14ac:dyDescent="0.25">
      <c r="A23" s="2">
        <v>45839</v>
      </c>
      <c r="B23">
        <v>12901</v>
      </c>
      <c r="C23">
        <v>1563</v>
      </c>
      <c r="D23" s="1">
        <f t="shared" si="0"/>
        <v>0.12115339896132082</v>
      </c>
    </row>
    <row r="24" spans="1:4" x14ac:dyDescent="0.25">
      <c r="A24" s="2">
        <v>45870</v>
      </c>
      <c r="B24">
        <v>14388</v>
      </c>
      <c r="C24">
        <v>1441</v>
      </c>
      <c r="D24" s="1">
        <f t="shared" si="0"/>
        <v>0.10015290519877676</v>
      </c>
    </row>
    <row r="25" spans="1:4" x14ac:dyDescent="0.25">
      <c r="A25" s="2">
        <v>45901</v>
      </c>
      <c r="B25">
        <v>12929</v>
      </c>
      <c r="C25">
        <v>3435</v>
      </c>
      <c r="D25" s="1">
        <f t="shared" si="0"/>
        <v>0.26568180060329494</v>
      </c>
    </row>
    <row r="26" spans="1:4" x14ac:dyDescent="0.25">
      <c r="A26" s="2">
        <v>45931</v>
      </c>
      <c r="B26">
        <v>15782</v>
      </c>
      <c r="C26">
        <v>4250</v>
      </c>
      <c r="D26" s="1">
        <f t="shared" si="0"/>
        <v>0.26929413255607654</v>
      </c>
    </row>
    <row r="27" spans="1:4" x14ac:dyDescent="0.25">
      <c r="A27" s="2">
        <v>45962</v>
      </c>
      <c r="B27">
        <v>11433</v>
      </c>
      <c r="C27">
        <v>2029</v>
      </c>
      <c r="D27" s="1">
        <f t="shared" si="0"/>
        <v>0.17746873086678913</v>
      </c>
    </row>
    <row r="28" spans="1:4" x14ac:dyDescent="0.25">
      <c r="A28" s="2">
        <v>45992</v>
      </c>
      <c r="B28">
        <v>13272</v>
      </c>
      <c r="C28">
        <v>2287</v>
      </c>
      <c r="D28" s="1">
        <f t="shared" si="0"/>
        <v>0.17231766124171188</v>
      </c>
    </row>
    <row r="29" spans="1:4" x14ac:dyDescent="0.25">
      <c r="A29" t="s">
        <v>2</v>
      </c>
      <c r="B29">
        <f>SUM(B2:B28)</f>
        <v>337452</v>
      </c>
      <c r="C29">
        <f>SUM(C2:C28)</f>
        <v>54911</v>
      </c>
      <c r="D29" s="1">
        <f t="shared" si="0"/>
        <v>0.16272240200087718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9A4D-FB0F-459E-B2BE-B9C8D2F5A5FC}">
  <dimension ref="A1:D5"/>
  <sheetViews>
    <sheetView zoomScale="130" zoomScaleNormal="130" workbookViewId="0">
      <selection activeCell="E23" sqref="E23"/>
    </sheetView>
  </sheetViews>
  <sheetFormatPr defaultRowHeight="15.75" x14ac:dyDescent="0.25"/>
  <cols>
    <col min="1" max="1" width="6" bestFit="1" customWidth="1"/>
    <col min="2" max="2" width="27.140625" bestFit="1" customWidth="1"/>
    <col min="3" max="3" width="34.140625" bestFit="1" customWidth="1"/>
    <col min="4" max="4" width="8.5703125" bestFit="1" customWidth="1"/>
  </cols>
  <sheetData>
    <row r="1" spans="1:4" x14ac:dyDescent="0.25">
      <c r="A1" t="s">
        <v>0</v>
      </c>
      <c r="B1" t="s">
        <v>19</v>
      </c>
      <c r="C1" t="s">
        <v>20</v>
      </c>
      <c r="D1" t="s">
        <v>1</v>
      </c>
    </row>
    <row r="2" spans="1:4" x14ac:dyDescent="0.25">
      <c r="A2">
        <v>2023</v>
      </c>
      <c r="B2">
        <v>114414</v>
      </c>
      <c r="C2">
        <v>13610</v>
      </c>
      <c r="D2" s="1">
        <f>C2/B2</f>
        <v>0.11895397416400091</v>
      </c>
    </row>
    <row r="3" spans="1:4" x14ac:dyDescent="0.25">
      <c r="A3">
        <v>2024</v>
      </c>
      <c r="B3">
        <v>450844</v>
      </c>
      <c r="C3">
        <v>74725</v>
      </c>
      <c r="D3" s="1">
        <f t="shared" ref="D3:D5" si="0">C3/B3</f>
        <v>0.1657446921773385</v>
      </c>
    </row>
    <row r="4" spans="1:4" x14ac:dyDescent="0.25">
      <c r="A4">
        <v>2025</v>
      </c>
      <c r="B4">
        <v>360057</v>
      </c>
      <c r="C4">
        <v>69003</v>
      </c>
      <c r="D4" s="1">
        <f t="shared" si="0"/>
        <v>0.19164465626275839</v>
      </c>
    </row>
    <row r="5" spans="1:4" x14ac:dyDescent="0.25">
      <c r="A5" t="s">
        <v>2</v>
      </c>
      <c r="B5">
        <f>B2+B3+B4</f>
        <v>925315</v>
      </c>
      <c r="C5">
        <f>C2+C3+C4</f>
        <v>157338</v>
      </c>
      <c r="D5" s="1">
        <f t="shared" si="0"/>
        <v>0.17003723056472661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BBACE-BC83-482C-B85E-E4E77BC8B6B0}">
  <dimension ref="A1:D5"/>
  <sheetViews>
    <sheetView zoomScale="130" zoomScaleNormal="130" workbookViewId="0">
      <selection activeCell="B1" sqref="B1"/>
    </sheetView>
  </sheetViews>
  <sheetFormatPr defaultRowHeight="15.75" x14ac:dyDescent="0.25"/>
  <cols>
    <col min="1" max="1" width="6" bestFit="1" customWidth="1"/>
    <col min="2" max="2" width="27.140625" bestFit="1" customWidth="1"/>
    <col min="3" max="3" width="34.140625" bestFit="1" customWidth="1"/>
    <col min="4" max="4" width="8.5703125" bestFit="1" customWidth="1"/>
  </cols>
  <sheetData>
    <row r="1" spans="1:4" x14ac:dyDescent="0.25">
      <c r="A1" t="s">
        <v>0</v>
      </c>
      <c r="B1" t="s">
        <v>21</v>
      </c>
      <c r="C1" t="s">
        <v>22</v>
      </c>
      <c r="D1" t="s">
        <v>1</v>
      </c>
    </row>
    <row r="2" spans="1:4" x14ac:dyDescent="0.25">
      <c r="A2">
        <v>2023</v>
      </c>
      <c r="B2">
        <v>310339</v>
      </c>
      <c r="C2">
        <v>66591</v>
      </c>
      <c r="D2" s="1">
        <f>C2/B2</f>
        <v>0.21457502924221578</v>
      </c>
    </row>
    <row r="3" spans="1:4" x14ac:dyDescent="0.25">
      <c r="A3">
        <v>2024</v>
      </c>
      <c r="B3">
        <v>1065930</v>
      </c>
      <c r="C3">
        <v>291395</v>
      </c>
      <c r="D3" s="1">
        <f t="shared" ref="D3:D5" si="0">C3/B3</f>
        <v>0.27337160976799602</v>
      </c>
    </row>
    <row r="4" spans="1:4" x14ac:dyDescent="0.25">
      <c r="A4">
        <v>2025</v>
      </c>
      <c r="B4">
        <v>948740</v>
      </c>
      <c r="C4">
        <v>323926</v>
      </c>
      <c r="D4" s="1">
        <f t="shared" si="0"/>
        <v>0.34142757762927672</v>
      </c>
    </row>
    <row r="5" spans="1:4" x14ac:dyDescent="0.25">
      <c r="A5" t="s">
        <v>2</v>
      </c>
      <c r="B5">
        <f>B2+B3+B4</f>
        <v>2325009</v>
      </c>
      <c r="C5">
        <f>C2+C3+C4</f>
        <v>681912</v>
      </c>
      <c r="D5" s="1">
        <f t="shared" si="0"/>
        <v>0.29329434853800568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DE617-9A65-4860-923D-270538E16942}">
  <dimension ref="A1:D29"/>
  <sheetViews>
    <sheetView zoomScale="130" zoomScaleNormal="130" workbookViewId="0">
      <selection activeCell="D28" sqref="D28"/>
    </sheetView>
  </sheetViews>
  <sheetFormatPr defaultRowHeight="15.75" x14ac:dyDescent="0.25"/>
  <cols>
    <col min="1" max="1" width="8.42578125" bestFit="1" customWidth="1"/>
    <col min="2" max="2" width="27.140625" bestFit="1" customWidth="1"/>
    <col min="3" max="3" width="34.140625" bestFit="1" customWidth="1"/>
    <col min="4" max="4" width="7" bestFit="1" customWidth="1"/>
  </cols>
  <sheetData>
    <row r="1" spans="1:4" x14ac:dyDescent="0.25">
      <c r="A1" t="s">
        <v>0</v>
      </c>
      <c r="B1" t="s">
        <v>23</v>
      </c>
      <c r="C1" t="s">
        <v>24</v>
      </c>
      <c r="D1" t="s">
        <v>1</v>
      </c>
    </row>
    <row r="2" spans="1:4" x14ac:dyDescent="0.25">
      <c r="A2" s="2">
        <v>45200</v>
      </c>
      <c r="B2">
        <v>36052</v>
      </c>
      <c r="C2">
        <v>3651</v>
      </c>
      <c r="D2" s="1">
        <f t="shared" ref="D2:D29" si="0">C2/B2</f>
        <v>0.10127038721846222</v>
      </c>
    </row>
    <row r="3" spans="1:4" x14ac:dyDescent="0.25">
      <c r="A3" s="2">
        <v>45231</v>
      </c>
      <c r="B3">
        <v>39384</v>
      </c>
      <c r="C3">
        <v>5043</v>
      </c>
      <c r="D3" s="1">
        <f t="shared" si="0"/>
        <v>0.12804692260816575</v>
      </c>
    </row>
    <row r="4" spans="1:4" x14ac:dyDescent="0.25">
      <c r="A4" s="2">
        <v>45261</v>
      </c>
      <c r="B4">
        <v>38978</v>
      </c>
      <c r="C4">
        <v>4916</v>
      </c>
      <c r="D4" s="1">
        <f t="shared" si="0"/>
        <v>0.12612242803632817</v>
      </c>
    </row>
    <row r="5" spans="1:4" x14ac:dyDescent="0.25">
      <c r="A5" s="2">
        <v>45292</v>
      </c>
      <c r="B5">
        <v>37208</v>
      </c>
      <c r="C5">
        <v>4801</v>
      </c>
      <c r="D5" s="1">
        <f t="shared" si="0"/>
        <v>0.12903139109868844</v>
      </c>
    </row>
    <row r="6" spans="1:4" x14ac:dyDescent="0.25">
      <c r="A6" s="2">
        <v>45323</v>
      </c>
      <c r="B6">
        <v>30383</v>
      </c>
      <c r="C6">
        <v>3171</v>
      </c>
      <c r="D6" s="1">
        <f t="shared" si="0"/>
        <v>0.10436757397228713</v>
      </c>
    </row>
    <row r="7" spans="1:4" x14ac:dyDescent="0.25">
      <c r="A7" s="2">
        <v>45352</v>
      </c>
      <c r="B7">
        <v>38707</v>
      </c>
      <c r="C7">
        <v>6272</v>
      </c>
      <c r="D7" s="1">
        <f t="shared" si="0"/>
        <v>0.16203787428630481</v>
      </c>
    </row>
    <row r="8" spans="1:4" x14ac:dyDescent="0.25">
      <c r="A8" s="2">
        <v>45383</v>
      </c>
      <c r="B8">
        <v>28288</v>
      </c>
      <c r="C8">
        <v>5459</v>
      </c>
      <c r="D8" s="1">
        <f t="shared" si="0"/>
        <v>0.19297935520361992</v>
      </c>
    </row>
    <row r="9" spans="1:4" x14ac:dyDescent="0.25">
      <c r="A9" s="2">
        <v>45413</v>
      </c>
      <c r="B9">
        <v>30254</v>
      </c>
      <c r="C9">
        <v>6334</v>
      </c>
      <c r="D9" s="1">
        <f t="shared" si="0"/>
        <v>0.2093607456865208</v>
      </c>
    </row>
    <row r="10" spans="1:4" x14ac:dyDescent="0.25">
      <c r="A10" s="2">
        <v>45444</v>
      </c>
      <c r="B10">
        <v>28483</v>
      </c>
      <c r="C10">
        <v>4754</v>
      </c>
      <c r="D10" s="1">
        <f t="shared" si="0"/>
        <v>0.16690657585226276</v>
      </c>
    </row>
    <row r="11" spans="1:4" x14ac:dyDescent="0.25">
      <c r="A11" s="2">
        <v>45474</v>
      </c>
      <c r="B11">
        <v>26662</v>
      </c>
      <c r="C11">
        <v>3579</v>
      </c>
      <c r="D11" s="1">
        <f t="shared" si="0"/>
        <v>0.13423599129847724</v>
      </c>
    </row>
    <row r="12" spans="1:4" x14ac:dyDescent="0.25">
      <c r="A12" s="2">
        <v>45505</v>
      </c>
      <c r="B12">
        <v>27688</v>
      </c>
      <c r="C12">
        <v>3543</v>
      </c>
      <c r="D12" s="1">
        <f t="shared" si="0"/>
        <v>0.12796157180005779</v>
      </c>
    </row>
    <row r="13" spans="1:4" x14ac:dyDescent="0.25">
      <c r="A13" s="2">
        <v>45536</v>
      </c>
      <c r="B13">
        <v>54433</v>
      </c>
      <c r="C13">
        <v>10443</v>
      </c>
      <c r="D13" s="1">
        <f t="shared" si="0"/>
        <v>0.19185053184649017</v>
      </c>
    </row>
    <row r="14" spans="1:4" x14ac:dyDescent="0.25">
      <c r="A14" s="2">
        <v>45566</v>
      </c>
      <c r="B14">
        <v>28782</v>
      </c>
      <c r="C14">
        <v>5382</v>
      </c>
      <c r="D14" s="1">
        <f t="shared" si="0"/>
        <v>0.18699186991869918</v>
      </c>
    </row>
    <row r="15" spans="1:4" x14ac:dyDescent="0.25">
      <c r="A15" s="2">
        <v>45597</v>
      </c>
      <c r="B15">
        <v>63327</v>
      </c>
      <c r="C15">
        <v>10961</v>
      </c>
      <c r="D15" s="1">
        <f t="shared" si="0"/>
        <v>0.17308572962559413</v>
      </c>
    </row>
    <row r="16" spans="1:4" x14ac:dyDescent="0.25">
      <c r="A16" s="2">
        <v>45627</v>
      </c>
      <c r="B16">
        <v>56629</v>
      </c>
      <c r="C16">
        <v>10026</v>
      </c>
      <c r="D16" s="1">
        <f t="shared" si="0"/>
        <v>0.17704709601087781</v>
      </c>
    </row>
    <row r="17" spans="1:4" x14ac:dyDescent="0.25">
      <c r="A17" s="2">
        <v>45658</v>
      </c>
      <c r="B17">
        <v>26085</v>
      </c>
      <c r="C17">
        <v>4124</v>
      </c>
      <c r="D17" s="1">
        <f t="shared" si="0"/>
        <v>0.15809852405597086</v>
      </c>
    </row>
    <row r="18" spans="1:4" x14ac:dyDescent="0.25">
      <c r="A18" s="2">
        <v>45689</v>
      </c>
      <c r="B18">
        <v>25676</v>
      </c>
      <c r="C18">
        <v>4592</v>
      </c>
      <c r="D18" s="1">
        <f t="shared" si="0"/>
        <v>0.17884405670665213</v>
      </c>
    </row>
    <row r="19" spans="1:4" x14ac:dyDescent="0.25">
      <c r="A19" s="2">
        <v>45717</v>
      </c>
      <c r="B19">
        <v>32253</v>
      </c>
      <c r="C19">
        <v>6673</v>
      </c>
      <c r="D19" s="1">
        <f t="shared" si="0"/>
        <v>0.20689548259076676</v>
      </c>
    </row>
    <row r="20" spans="1:4" x14ac:dyDescent="0.25">
      <c r="A20" s="2">
        <v>45748</v>
      </c>
      <c r="B20">
        <v>34047</v>
      </c>
      <c r="C20">
        <v>6586</v>
      </c>
      <c r="D20" s="1">
        <f t="shared" si="0"/>
        <v>0.19343848209827591</v>
      </c>
    </row>
    <row r="21" spans="1:4" x14ac:dyDescent="0.25">
      <c r="A21" s="2">
        <v>45778</v>
      </c>
      <c r="B21">
        <v>32009</v>
      </c>
      <c r="C21">
        <v>6596</v>
      </c>
      <c r="D21" s="1">
        <f t="shared" si="0"/>
        <v>0.20606704364397513</v>
      </c>
    </row>
    <row r="22" spans="1:4" x14ac:dyDescent="0.25">
      <c r="A22" s="2">
        <v>45809</v>
      </c>
      <c r="B22">
        <v>30017</v>
      </c>
      <c r="C22">
        <v>5807</v>
      </c>
      <c r="D22" s="1">
        <f t="shared" si="0"/>
        <v>0.19345704101009428</v>
      </c>
    </row>
    <row r="23" spans="1:4" x14ac:dyDescent="0.25">
      <c r="A23" s="2">
        <v>45839</v>
      </c>
      <c r="B23">
        <v>28640</v>
      </c>
      <c r="C23">
        <v>4546</v>
      </c>
      <c r="D23" s="1">
        <f t="shared" si="0"/>
        <v>0.1587290502793296</v>
      </c>
    </row>
    <row r="24" spans="1:4" x14ac:dyDescent="0.25">
      <c r="A24" s="2">
        <v>45870</v>
      </c>
      <c r="B24">
        <v>29551</v>
      </c>
      <c r="C24">
        <v>3857</v>
      </c>
      <c r="D24" s="1">
        <f t="shared" si="0"/>
        <v>0.13052011776251227</v>
      </c>
    </row>
    <row r="25" spans="1:4" x14ac:dyDescent="0.25">
      <c r="A25" s="2">
        <v>45901</v>
      </c>
      <c r="B25">
        <v>31191</v>
      </c>
      <c r="C25">
        <v>6525</v>
      </c>
      <c r="D25" s="1">
        <f t="shared" si="0"/>
        <v>0.20919496008463981</v>
      </c>
    </row>
    <row r="26" spans="1:4" x14ac:dyDescent="0.25">
      <c r="A26" s="2">
        <v>45931</v>
      </c>
      <c r="B26">
        <v>32156</v>
      </c>
      <c r="C26">
        <v>6657</v>
      </c>
      <c r="D26" s="1">
        <f t="shared" si="0"/>
        <v>0.20702201766388853</v>
      </c>
    </row>
    <row r="27" spans="1:4" x14ac:dyDescent="0.25">
      <c r="A27" s="2">
        <v>45962</v>
      </c>
      <c r="B27">
        <v>26571</v>
      </c>
      <c r="C27">
        <v>5944</v>
      </c>
      <c r="D27" s="1">
        <f t="shared" si="0"/>
        <v>0.22370253283655112</v>
      </c>
    </row>
    <row r="28" spans="1:4" x14ac:dyDescent="0.25">
      <c r="A28" s="2">
        <v>45992</v>
      </c>
      <c r="B28">
        <v>31861</v>
      </c>
      <c r="C28">
        <v>7096</v>
      </c>
      <c r="D28" s="1">
        <f t="shared" si="0"/>
        <v>0.22271742883148676</v>
      </c>
    </row>
    <row r="29" spans="1:4" x14ac:dyDescent="0.25">
      <c r="A29" t="s">
        <v>2</v>
      </c>
      <c r="B29">
        <f>SUM(B2:B28)</f>
        <v>925315</v>
      </c>
      <c r="C29">
        <f>SUM(C2:C28)</f>
        <v>157338</v>
      </c>
      <c r="D29" s="1">
        <f t="shared" si="0"/>
        <v>0.17003723056472661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8194E-E709-4C61-BFFE-637C460A2A0B}">
  <dimension ref="A1:D29"/>
  <sheetViews>
    <sheetView zoomScale="130" zoomScaleNormal="130" workbookViewId="0">
      <selection activeCell="B1" sqref="B1"/>
    </sheetView>
  </sheetViews>
  <sheetFormatPr defaultRowHeight="15.75" x14ac:dyDescent="0.25"/>
  <cols>
    <col min="1" max="1" width="8.42578125" bestFit="1" customWidth="1"/>
    <col min="2" max="2" width="27.140625" bestFit="1" customWidth="1"/>
    <col min="3" max="3" width="34.140625" bestFit="1" customWidth="1"/>
    <col min="4" max="4" width="7" bestFit="1" customWidth="1"/>
  </cols>
  <sheetData>
    <row r="1" spans="1:4" x14ac:dyDescent="0.25">
      <c r="A1" t="s">
        <v>0</v>
      </c>
      <c r="B1" t="s">
        <v>25</v>
      </c>
      <c r="C1" t="s">
        <v>26</v>
      </c>
      <c r="D1" t="s">
        <v>1</v>
      </c>
    </row>
    <row r="2" spans="1:4" x14ac:dyDescent="0.25">
      <c r="A2" s="2">
        <v>45200</v>
      </c>
      <c r="B2">
        <v>96107</v>
      </c>
      <c r="C2">
        <v>14136</v>
      </c>
      <c r="D2" s="1">
        <f t="shared" ref="D2:D29" si="0">C2/B2</f>
        <v>0.14708606032859209</v>
      </c>
    </row>
    <row r="3" spans="1:4" x14ac:dyDescent="0.25">
      <c r="A3" s="2">
        <v>45231</v>
      </c>
      <c r="B3">
        <v>105078</v>
      </c>
      <c r="C3">
        <v>25536</v>
      </c>
      <c r="D3" s="1">
        <f t="shared" si="0"/>
        <v>0.24301947124992862</v>
      </c>
    </row>
    <row r="4" spans="1:4" x14ac:dyDescent="0.25">
      <c r="A4" s="2">
        <v>45261</v>
      </c>
      <c r="B4">
        <v>109154</v>
      </c>
      <c r="C4">
        <v>26919</v>
      </c>
      <c r="D4" s="1">
        <f t="shared" si="0"/>
        <v>0.24661487439764004</v>
      </c>
    </row>
    <row r="5" spans="1:4" x14ac:dyDescent="0.25">
      <c r="A5" s="2">
        <v>45292</v>
      </c>
      <c r="B5">
        <v>100678</v>
      </c>
      <c r="C5">
        <v>23662</v>
      </c>
      <c r="D5" s="1">
        <f t="shared" si="0"/>
        <v>0.23502652019309084</v>
      </c>
    </row>
    <row r="6" spans="1:4" x14ac:dyDescent="0.25">
      <c r="A6" s="2">
        <v>45323</v>
      </c>
      <c r="B6">
        <v>63234</v>
      </c>
      <c r="C6">
        <v>12850</v>
      </c>
      <c r="D6" s="1">
        <f t="shared" si="0"/>
        <v>0.20321346111269253</v>
      </c>
    </row>
    <row r="7" spans="1:4" x14ac:dyDescent="0.25">
      <c r="A7" s="2">
        <v>45352</v>
      </c>
      <c r="B7">
        <v>106389</v>
      </c>
      <c r="C7">
        <v>30268</v>
      </c>
      <c r="D7" s="1">
        <f t="shared" si="0"/>
        <v>0.28450309712470273</v>
      </c>
    </row>
    <row r="8" spans="1:4" x14ac:dyDescent="0.25">
      <c r="A8" s="2">
        <v>45383</v>
      </c>
      <c r="B8">
        <v>98464</v>
      </c>
      <c r="C8">
        <v>28068</v>
      </c>
      <c r="D8" s="1">
        <f t="shared" si="0"/>
        <v>0.28505849853753656</v>
      </c>
    </row>
    <row r="9" spans="1:4" x14ac:dyDescent="0.25">
      <c r="A9" s="2">
        <v>45413</v>
      </c>
      <c r="B9">
        <v>102960</v>
      </c>
      <c r="C9">
        <v>33356</v>
      </c>
      <c r="D9" s="1">
        <f t="shared" si="0"/>
        <v>0.32397047397047396</v>
      </c>
    </row>
    <row r="10" spans="1:4" x14ac:dyDescent="0.25">
      <c r="A10" s="2">
        <v>45444</v>
      </c>
      <c r="B10">
        <v>73252</v>
      </c>
      <c r="C10">
        <v>19277</v>
      </c>
      <c r="D10" s="1">
        <f t="shared" si="0"/>
        <v>0.26316005023753619</v>
      </c>
    </row>
    <row r="11" spans="1:4" x14ac:dyDescent="0.25">
      <c r="A11" s="2">
        <v>45474</v>
      </c>
      <c r="B11">
        <v>63710</v>
      </c>
      <c r="C11">
        <v>12854</v>
      </c>
      <c r="D11" s="1">
        <f t="shared" si="0"/>
        <v>0.20175796578245173</v>
      </c>
    </row>
    <row r="12" spans="1:4" x14ac:dyDescent="0.25">
      <c r="A12" s="2">
        <v>45505</v>
      </c>
      <c r="B12">
        <v>77277</v>
      </c>
      <c r="C12">
        <v>14162</v>
      </c>
      <c r="D12" s="1">
        <f t="shared" si="0"/>
        <v>0.1832628078212146</v>
      </c>
    </row>
    <row r="13" spans="1:4" x14ac:dyDescent="0.25">
      <c r="A13" s="2">
        <v>45536</v>
      </c>
      <c r="B13">
        <v>95241</v>
      </c>
      <c r="C13">
        <v>28094</v>
      </c>
      <c r="D13" s="1">
        <f t="shared" si="0"/>
        <v>0.29497800317090328</v>
      </c>
    </row>
    <row r="14" spans="1:4" x14ac:dyDescent="0.25">
      <c r="A14" s="2">
        <v>45566</v>
      </c>
      <c r="B14">
        <v>82417</v>
      </c>
      <c r="C14">
        <v>25895</v>
      </c>
      <c r="D14" s="1">
        <f t="shared" si="0"/>
        <v>0.31419488697720133</v>
      </c>
    </row>
    <row r="15" spans="1:4" x14ac:dyDescent="0.25">
      <c r="A15" s="2">
        <v>45597</v>
      </c>
      <c r="B15">
        <v>100286</v>
      </c>
      <c r="C15">
        <v>29947</v>
      </c>
      <c r="D15" s="1">
        <f t="shared" si="0"/>
        <v>0.29861595835909299</v>
      </c>
    </row>
    <row r="16" spans="1:4" x14ac:dyDescent="0.25">
      <c r="A16" s="2">
        <v>45627</v>
      </c>
      <c r="B16">
        <v>102022</v>
      </c>
      <c r="C16">
        <v>32962</v>
      </c>
      <c r="D16" s="1">
        <f t="shared" si="0"/>
        <v>0.32308717727548958</v>
      </c>
    </row>
    <row r="17" spans="1:4" x14ac:dyDescent="0.25">
      <c r="A17" s="2">
        <v>45658</v>
      </c>
      <c r="B17">
        <v>73413</v>
      </c>
      <c r="C17">
        <v>22346</v>
      </c>
      <c r="D17" s="1">
        <f t="shared" si="0"/>
        <v>0.30438750629997413</v>
      </c>
    </row>
    <row r="18" spans="1:4" x14ac:dyDescent="0.25">
      <c r="A18" s="2">
        <v>45689</v>
      </c>
      <c r="B18">
        <v>69916</v>
      </c>
      <c r="C18">
        <v>21897</v>
      </c>
      <c r="D18" s="1">
        <f t="shared" si="0"/>
        <v>0.31319011385090678</v>
      </c>
    </row>
    <row r="19" spans="1:4" x14ac:dyDescent="0.25">
      <c r="A19" s="2">
        <v>45717</v>
      </c>
      <c r="B19">
        <v>87811</v>
      </c>
      <c r="C19">
        <v>32143</v>
      </c>
      <c r="D19" s="1">
        <f t="shared" si="0"/>
        <v>0.3660475339080525</v>
      </c>
    </row>
    <row r="20" spans="1:4" x14ac:dyDescent="0.25">
      <c r="A20" s="2">
        <v>45748</v>
      </c>
      <c r="B20">
        <v>132492</v>
      </c>
      <c r="C20">
        <v>50342</v>
      </c>
      <c r="D20" s="1">
        <f t="shared" si="0"/>
        <v>0.37996256377743559</v>
      </c>
    </row>
    <row r="21" spans="1:4" x14ac:dyDescent="0.25">
      <c r="A21" s="2">
        <v>45778</v>
      </c>
      <c r="B21">
        <v>82924</v>
      </c>
      <c r="C21">
        <v>31056</v>
      </c>
      <c r="D21" s="1">
        <f t="shared" si="0"/>
        <v>0.37451160098403358</v>
      </c>
    </row>
    <row r="22" spans="1:4" x14ac:dyDescent="0.25">
      <c r="A22" s="2">
        <v>45809</v>
      </c>
      <c r="B22">
        <v>79154</v>
      </c>
      <c r="C22">
        <v>27086</v>
      </c>
      <c r="D22" s="1">
        <f t="shared" si="0"/>
        <v>0.34219369836015867</v>
      </c>
    </row>
    <row r="23" spans="1:4" x14ac:dyDescent="0.25">
      <c r="A23" s="2">
        <v>45839</v>
      </c>
      <c r="B23">
        <v>62710</v>
      </c>
      <c r="C23">
        <v>15824</v>
      </c>
      <c r="D23" s="1">
        <f t="shared" si="0"/>
        <v>0.25233615053420505</v>
      </c>
    </row>
    <row r="24" spans="1:4" x14ac:dyDescent="0.25">
      <c r="A24" s="2">
        <v>45870</v>
      </c>
      <c r="B24">
        <v>65467</v>
      </c>
      <c r="C24">
        <v>14398</v>
      </c>
      <c r="D24" s="1">
        <f t="shared" si="0"/>
        <v>0.21992759710999435</v>
      </c>
    </row>
    <row r="25" spans="1:4" x14ac:dyDescent="0.25">
      <c r="A25" s="2">
        <v>45901</v>
      </c>
      <c r="B25">
        <v>80018</v>
      </c>
      <c r="C25">
        <v>31027</v>
      </c>
      <c r="D25" s="1">
        <f t="shared" si="0"/>
        <v>0.3877502561923567</v>
      </c>
    </row>
    <row r="26" spans="1:4" x14ac:dyDescent="0.25">
      <c r="A26" s="2">
        <v>45931</v>
      </c>
      <c r="B26">
        <v>89413</v>
      </c>
      <c r="C26">
        <v>32693</v>
      </c>
      <c r="D26" s="1">
        <f t="shared" si="0"/>
        <v>0.36564034312683835</v>
      </c>
    </row>
    <row r="27" spans="1:4" x14ac:dyDescent="0.25">
      <c r="A27" s="2">
        <v>45962</v>
      </c>
      <c r="B27">
        <v>36240</v>
      </c>
      <c r="C27">
        <v>10433</v>
      </c>
      <c r="D27" s="1">
        <f t="shared" si="0"/>
        <v>0.28788631346578364</v>
      </c>
    </row>
    <row r="28" spans="1:4" x14ac:dyDescent="0.25">
      <c r="A28" s="2">
        <v>45992</v>
      </c>
      <c r="B28">
        <v>89182</v>
      </c>
      <c r="C28">
        <v>34681</v>
      </c>
      <c r="D28" s="1">
        <f t="shared" si="0"/>
        <v>0.3888789217555112</v>
      </c>
    </row>
    <row r="29" spans="1:4" x14ac:dyDescent="0.25">
      <c r="A29" t="s">
        <v>2</v>
      </c>
      <c r="B29">
        <f>SUM(B2:B28)</f>
        <v>2325009</v>
      </c>
      <c r="C29">
        <f>SUM(C2:C28)</f>
        <v>681912</v>
      </c>
      <c r="D29" s="1">
        <f t="shared" si="0"/>
        <v>0.29329434853800568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D183-E054-4F52-B242-86CC9E24C27F}">
  <dimension ref="A1:F5"/>
  <sheetViews>
    <sheetView zoomScale="130" zoomScaleNormal="130" workbookViewId="0">
      <selection activeCell="E11" sqref="E11"/>
    </sheetView>
  </sheetViews>
  <sheetFormatPr defaultRowHeight="15.75" x14ac:dyDescent="0.25"/>
  <cols>
    <col min="1" max="1" width="13.28515625" bestFit="1" customWidth="1"/>
    <col min="2" max="3" width="6.7109375" bestFit="1" customWidth="1"/>
    <col min="4" max="4" width="7.7109375" bestFit="1" customWidth="1"/>
    <col min="5" max="6" width="11.28515625" bestFit="1" customWidth="1"/>
  </cols>
  <sheetData>
    <row r="1" spans="1:6" x14ac:dyDescent="0.25">
      <c r="A1" t="s">
        <v>32</v>
      </c>
      <c r="B1">
        <v>112</v>
      </c>
      <c r="C1">
        <v>113</v>
      </c>
      <c r="D1">
        <v>114</v>
      </c>
      <c r="E1" t="s">
        <v>30</v>
      </c>
      <c r="F1" t="s">
        <v>31</v>
      </c>
    </row>
    <row r="2" spans="1:6" x14ac:dyDescent="0.25">
      <c r="A2" t="s">
        <v>27</v>
      </c>
      <c r="B2">
        <v>12205</v>
      </c>
      <c r="C2">
        <v>47332</v>
      </c>
      <c r="D2">
        <v>85367</v>
      </c>
      <c r="E2" s="1">
        <f>(C2-B2)/B2</f>
        <v>2.8780827529700943</v>
      </c>
      <c r="F2" s="1">
        <f>(D2-C2)/C2</f>
        <v>0.80357897405560719</v>
      </c>
    </row>
    <row r="3" spans="1:6" x14ac:dyDescent="0.25">
      <c r="A3" t="s">
        <v>28</v>
      </c>
      <c r="B3">
        <v>1828</v>
      </c>
      <c r="C3">
        <v>9260</v>
      </c>
      <c r="D3">
        <v>13203</v>
      </c>
      <c r="E3" s="1">
        <f t="shared" ref="E3:E4" si="0">(C3-B3)/B3</f>
        <v>4.0656455142231946</v>
      </c>
      <c r="F3" s="1">
        <f t="shared" ref="F3:F4" si="1">(D3-C3)/C3</f>
        <v>0.42580993520518357</v>
      </c>
    </row>
    <row r="4" spans="1:6" x14ac:dyDescent="0.25">
      <c r="A4" t="s">
        <v>29</v>
      </c>
      <c r="B4">
        <v>4071</v>
      </c>
      <c r="C4">
        <v>20893</v>
      </c>
      <c r="D4">
        <v>29947</v>
      </c>
      <c r="E4" s="1">
        <f t="shared" si="0"/>
        <v>4.1321542618521248</v>
      </c>
      <c r="F4" s="1">
        <f t="shared" si="1"/>
        <v>0.43335088307088498</v>
      </c>
    </row>
    <row r="5" spans="1:6" x14ac:dyDescent="0.25">
      <c r="A5" t="s">
        <v>2</v>
      </c>
      <c r="B5">
        <f>SUM(B2,B3,B4)</f>
        <v>18104</v>
      </c>
      <c r="C5">
        <f t="shared" ref="C5:D5" si="2">SUM(C2,C3,C4)</f>
        <v>77485</v>
      </c>
      <c r="D5">
        <f t="shared" si="2"/>
        <v>128517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0FCB4-A082-4C88-86B5-EBE994486089}">
  <dimension ref="A1:F5"/>
  <sheetViews>
    <sheetView tabSelected="1" zoomScale="130" zoomScaleNormal="130" workbookViewId="0">
      <selection activeCell="H9" sqref="H9"/>
    </sheetView>
  </sheetViews>
  <sheetFormatPr defaultRowHeight="15.75" x14ac:dyDescent="0.25"/>
  <cols>
    <col min="1" max="1" width="13.28515625" bestFit="1" customWidth="1"/>
    <col min="2" max="2" width="6.7109375" bestFit="1" customWidth="1"/>
    <col min="3" max="4" width="7.7109375" bestFit="1" customWidth="1"/>
    <col min="5" max="6" width="11.28515625" bestFit="1" customWidth="1"/>
  </cols>
  <sheetData>
    <row r="1" spans="1:6" x14ac:dyDescent="0.25">
      <c r="A1" t="s">
        <v>32</v>
      </c>
      <c r="B1">
        <v>112</v>
      </c>
      <c r="C1">
        <v>113</v>
      </c>
      <c r="D1">
        <v>114</v>
      </c>
      <c r="E1" t="s">
        <v>30</v>
      </c>
      <c r="F1" t="s">
        <v>31</v>
      </c>
    </row>
    <row r="2" spans="1:6" x14ac:dyDescent="0.25">
      <c r="A2" t="s">
        <v>27</v>
      </c>
      <c r="B2">
        <v>0</v>
      </c>
      <c r="C2">
        <v>0</v>
      </c>
      <c r="D2">
        <v>2</v>
      </c>
      <c r="E2" s="1" t="e">
        <f>(C2-B2)/B2</f>
        <v>#DIV/0!</v>
      </c>
      <c r="F2" s="1" t="e">
        <f>(D2-C2)/C2</f>
        <v>#DIV/0!</v>
      </c>
    </row>
    <row r="3" spans="1:6" x14ac:dyDescent="0.25">
      <c r="A3" t="s">
        <v>28</v>
      </c>
      <c r="B3">
        <v>8894</v>
      </c>
      <c r="C3">
        <v>68052</v>
      </c>
      <c r="D3">
        <v>62058</v>
      </c>
      <c r="E3" s="1">
        <f t="shared" ref="E3:F4" si="0">(C3-B3)/B3</f>
        <v>6.6514504160107935</v>
      </c>
      <c r="F3" s="1">
        <f t="shared" si="0"/>
        <v>-8.8079703755951325E-2</v>
      </c>
    </row>
    <row r="4" spans="1:6" x14ac:dyDescent="0.25">
      <c r="A4" t="s">
        <v>29</v>
      </c>
      <c r="B4">
        <v>71307</v>
      </c>
      <c r="C4">
        <v>298068</v>
      </c>
      <c r="D4">
        <v>330869</v>
      </c>
      <c r="E4" s="1">
        <f t="shared" si="0"/>
        <v>3.1800664731372796</v>
      </c>
      <c r="F4" s="1">
        <f t="shared" si="0"/>
        <v>0.11004535877719178</v>
      </c>
    </row>
    <row r="5" spans="1:6" x14ac:dyDescent="0.25">
      <c r="A5" t="s">
        <v>2</v>
      </c>
      <c r="B5">
        <f>SUM(B2,B3,B4)</f>
        <v>80201</v>
      </c>
      <c r="C5">
        <f t="shared" ref="C5:D5" si="1">SUM(C2,C3,C4)</f>
        <v>366120</v>
      </c>
      <c r="D5">
        <f t="shared" si="1"/>
        <v>392929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花蓮縣TPASS年占比</vt:lpstr>
      <vt:lpstr>臺東縣TPASS年占比</vt:lpstr>
      <vt:lpstr>花蓮縣TPASS月占比</vt:lpstr>
      <vt:lpstr>臺東縣TPASS月占比</vt:lpstr>
      <vt:lpstr>花蓮縣市區客運TPASS年占比</vt:lpstr>
      <vt:lpstr>臺東縣市區客運TPASS年占比</vt:lpstr>
      <vt:lpstr>花蓮縣市區客運TPASS月占比</vt:lpstr>
      <vt:lpstr>臺東縣市區客運TPASS月占比</vt:lpstr>
      <vt:lpstr>花蓮縣公路客運TPASS年占比</vt:lpstr>
      <vt:lpstr>臺東縣公路客運TPASS年占比</vt:lpstr>
      <vt:lpstr>花蓮縣公路客運TPASS月占比</vt:lpstr>
      <vt:lpstr>臺東縣公路客運TPASS月占比</vt:lpstr>
      <vt:lpstr>市區客運各種TPASS成長率</vt:lpstr>
      <vt:lpstr>公路客運各種TPASS成長率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Jundian Chen</dc:creator>
  <cp:lastModifiedBy>陳竣典</cp:lastModifiedBy>
  <dcterms:created xsi:type="dcterms:W3CDTF">2015-06-05T18:17:20Z</dcterms:created>
  <dcterms:modified xsi:type="dcterms:W3CDTF">2026-03-27T17:04:01Z</dcterms:modified>
</cp:coreProperties>
</file>