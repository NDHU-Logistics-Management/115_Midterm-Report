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115_Midterm-Report\交通觀光景點分析 + 鄉鎮際搭乘分析\datasets\112-114\"/>
    </mc:Choice>
  </mc:AlternateContent>
  <xr:revisionPtr revIDLastSave="0" documentId="13_ncr:1_{00987B17-2227-45B1-8AC0-73B0814968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觀光景點人數統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F16" i="1"/>
  <c r="E17" i="1"/>
  <c r="F17" i="1"/>
  <c r="F8" i="1"/>
  <c r="E8" i="1"/>
</calcChain>
</file>

<file path=xl/sharedStrings.xml><?xml version="1.0" encoding="utf-8"?>
<sst xmlns="http://schemas.openxmlformats.org/spreadsheetml/2006/main" count="24" uniqueCount="13">
  <si>
    <t>年份</t>
  </si>
  <si>
    <t>太魯閣</t>
  </si>
  <si>
    <t>志學車站</t>
  </si>
  <si>
    <t>新城車站</t>
  </si>
  <si>
    <t>新天堂樂園</t>
  </si>
  <si>
    <t>東大門夜市</t>
  </si>
  <si>
    <t>海洋公園</t>
  </si>
  <si>
    <t>玉里車站</t>
  </si>
  <si>
    <t>瑞穗車站</t>
  </si>
  <si>
    <t>花蓮航空站</t>
  </si>
  <si>
    <t>花蓮轉運站.車站</t>
  </si>
  <si>
    <r>
      <t>114</t>
    </r>
    <r>
      <rPr>
        <sz val="11"/>
        <color rgb="FF000000"/>
        <rFont val="Microsoft JhengHei"/>
        <family val="2"/>
        <charset val="136"/>
      </rPr>
      <t>年成長率</t>
    </r>
    <phoneticPr fontId="2" type="noConversion"/>
  </si>
  <si>
    <r>
      <t>113</t>
    </r>
    <r>
      <rPr>
        <sz val="11"/>
        <color rgb="FF000000"/>
        <rFont val="Microsoft JhengHei"/>
        <family val="2"/>
        <charset val="136"/>
      </rPr>
      <t>年成長率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</si>
</sst>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0" formatCode="0.0%"/>
    <numFmt numFmtId="181" formatCode="#,##0_ "/>
  </numFmts>
  <fonts count="4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name val="細明體"/>
      <family val="3"/>
      <charset val="136"/>
      <scheme val="minor"/>
    </font>
    <font>
      <sz val="11"/>
      <color rgb="FF000000"/>
      <name val="Microsoft JhengHe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3">
    <xf numFmtId="0" fontId="0" fillId="0" borderId="0" xfId="0"/>
    <xf numFmtId="180" fontId="0" fillId="0" borderId="0" xfId="1" applyNumberFormat="1" applyFont="1" applyAlignment="1"/>
    <xf numFmtId="181" fontId="0" fillId="0" borderId="0" xfId="0" applyNumberFormat="1"/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"/>
  <sheetViews>
    <sheetView tabSelected="1" zoomScale="160" zoomScaleNormal="160" workbookViewId="0">
      <selection activeCell="G18" sqref="G18"/>
    </sheetView>
  </sheetViews>
  <sheetFormatPr defaultColWidth="11.42578125" defaultRowHeight="15"/>
  <cols>
    <col min="1" max="1" width="18.14062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112</v>
      </c>
      <c r="B2">
        <v>41063</v>
      </c>
      <c r="C2">
        <v>2534</v>
      </c>
      <c r="D2">
        <v>32680</v>
      </c>
      <c r="E2">
        <v>6375</v>
      </c>
      <c r="F2">
        <v>64950</v>
      </c>
      <c r="G2">
        <v>6384</v>
      </c>
      <c r="H2">
        <v>14937</v>
      </c>
      <c r="I2">
        <v>4981</v>
      </c>
      <c r="J2">
        <v>0</v>
      </c>
      <c r="K2">
        <v>87656</v>
      </c>
    </row>
    <row r="3" spans="1:11">
      <c r="A3">
        <v>113</v>
      </c>
      <c r="B3">
        <v>17378</v>
      </c>
      <c r="C3">
        <v>3384</v>
      </c>
      <c r="D3">
        <v>11344</v>
      </c>
      <c r="E3">
        <v>3865</v>
      </c>
      <c r="F3">
        <v>61552</v>
      </c>
      <c r="G3">
        <v>11053</v>
      </c>
      <c r="H3">
        <v>23279</v>
      </c>
      <c r="I3">
        <v>6331</v>
      </c>
      <c r="J3">
        <v>200</v>
      </c>
      <c r="K3">
        <v>102037</v>
      </c>
    </row>
    <row r="4" spans="1:11">
      <c r="A4">
        <v>114</v>
      </c>
      <c r="B4">
        <v>5307</v>
      </c>
      <c r="C4">
        <v>3539</v>
      </c>
      <c r="D4">
        <v>1890</v>
      </c>
      <c r="E4">
        <v>4911</v>
      </c>
      <c r="F4">
        <v>58133</v>
      </c>
      <c r="G4">
        <v>5130</v>
      </c>
      <c r="H4">
        <v>17458</v>
      </c>
      <c r="I4">
        <v>4906</v>
      </c>
      <c r="J4">
        <v>1482</v>
      </c>
      <c r="K4">
        <v>98828</v>
      </c>
    </row>
    <row r="7" spans="1:11">
      <c r="A7" t="s">
        <v>0</v>
      </c>
      <c r="B7">
        <v>112</v>
      </c>
      <c r="C7">
        <v>113</v>
      </c>
      <c r="D7">
        <v>114</v>
      </c>
      <c r="E7" t="s">
        <v>12</v>
      </c>
      <c r="F7" t="s">
        <v>11</v>
      </c>
    </row>
    <row r="8" spans="1:11">
      <c r="A8" t="s">
        <v>1</v>
      </c>
      <c r="B8" s="2">
        <v>41063</v>
      </c>
      <c r="C8" s="2">
        <v>17378</v>
      </c>
      <c r="D8" s="2">
        <v>5307</v>
      </c>
      <c r="E8" s="1">
        <f>(C8-B8)/B8</f>
        <v>-0.57679662956919853</v>
      </c>
      <c r="F8" s="1">
        <f>(D8-C8)/C8</f>
        <v>-0.69461387961790766</v>
      </c>
    </row>
    <row r="9" spans="1:11">
      <c r="A9" t="s">
        <v>2</v>
      </c>
      <c r="B9" s="2">
        <v>2534</v>
      </c>
      <c r="C9" s="2">
        <v>3384</v>
      </c>
      <c r="D9" s="2">
        <v>3539</v>
      </c>
      <c r="E9" s="1">
        <f t="shared" ref="E9:E17" si="0">(C9-B9)/B9</f>
        <v>0.33543804262036309</v>
      </c>
      <c r="F9" s="1">
        <f t="shared" ref="F9:F17" si="1">(D9-C9)/C9</f>
        <v>4.5803782505910162E-2</v>
      </c>
    </row>
    <row r="10" spans="1:11">
      <c r="A10" t="s">
        <v>3</v>
      </c>
      <c r="B10" s="2">
        <v>32680</v>
      </c>
      <c r="C10" s="2">
        <v>11344</v>
      </c>
      <c r="D10" s="2">
        <v>1890</v>
      </c>
      <c r="E10" s="1">
        <f t="shared" si="0"/>
        <v>-0.65287637698898404</v>
      </c>
      <c r="F10" s="1">
        <f t="shared" si="1"/>
        <v>-0.83339210155148091</v>
      </c>
    </row>
    <row r="11" spans="1:11">
      <c r="A11" t="s">
        <v>4</v>
      </c>
      <c r="B11" s="2">
        <v>6375</v>
      </c>
      <c r="C11" s="2">
        <v>3865</v>
      </c>
      <c r="D11" s="2">
        <v>4911</v>
      </c>
      <c r="E11" s="1">
        <f t="shared" si="0"/>
        <v>-0.39372549019607844</v>
      </c>
      <c r="F11" s="1">
        <f t="shared" si="1"/>
        <v>0.27063389391979303</v>
      </c>
    </row>
    <row r="12" spans="1:11">
      <c r="A12" t="s">
        <v>5</v>
      </c>
      <c r="B12" s="2">
        <v>64950</v>
      </c>
      <c r="C12" s="2">
        <v>61552</v>
      </c>
      <c r="D12" s="2">
        <v>58133</v>
      </c>
      <c r="E12" s="1">
        <f t="shared" si="0"/>
        <v>-5.2317167051578135E-2</v>
      </c>
      <c r="F12" s="1">
        <f t="shared" si="1"/>
        <v>-5.5546529763452042E-2</v>
      </c>
    </row>
    <row r="13" spans="1:11">
      <c r="A13" t="s">
        <v>6</v>
      </c>
      <c r="B13" s="2">
        <v>6384</v>
      </c>
      <c r="C13" s="2">
        <v>11053</v>
      </c>
      <c r="D13" s="2">
        <v>5130</v>
      </c>
      <c r="E13" s="1">
        <f t="shared" si="0"/>
        <v>0.73135964912280704</v>
      </c>
      <c r="F13" s="1">
        <f t="shared" si="1"/>
        <v>-0.53587261377001716</v>
      </c>
    </row>
    <row r="14" spans="1:11">
      <c r="A14" t="s">
        <v>7</v>
      </c>
      <c r="B14" s="2">
        <v>14937</v>
      </c>
      <c r="C14" s="2">
        <v>23279</v>
      </c>
      <c r="D14" s="2">
        <v>17458</v>
      </c>
      <c r="E14" s="1">
        <f t="shared" si="0"/>
        <v>0.5584789449019214</v>
      </c>
      <c r="F14" s="1">
        <f t="shared" si="1"/>
        <v>-0.25005369646462478</v>
      </c>
    </row>
    <row r="15" spans="1:11">
      <c r="A15" t="s">
        <v>8</v>
      </c>
      <c r="B15" s="2">
        <v>4981</v>
      </c>
      <c r="C15" s="2">
        <v>6331</v>
      </c>
      <c r="D15" s="2">
        <v>4906</v>
      </c>
      <c r="E15" s="1">
        <f t="shared" si="0"/>
        <v>0.27102991367195345</v>
      </c>
      <c r="F15" s="1">
        <f t="shared" si="1"/>
        <v>-0.2250829252882641</v>
      </c>
    </row>
    <row r="16" spans="1:11">
      <c r="A16" t="s">
        <v>9</v>
      </c>
      <c r="B16" s="2">
        <v>0</v>
      </c>
      <c r="C16" s="2">
        <v>200</v>
      </c>
      <c r="D16" s="2">
        <v>1482</v>
      </c>
      <c r="E16" s="1"/>
      <c r="F16" s="1">
        <f t="shared" si="1"/>
        <v>6.41</v>
      </c>
    </row>
    <row r="17" spans="1:6">
      <c r="A17" t="s">
        <v>10</v>
      </c>
      <c r="B17" s="2">
        <v>87656</v>
      </c>
      <c r="C17" s="2">
        <v>102037</v>
      </c>
      <c r="D17" s="2">
        <v>98828</v>
      </c>
      <c r="E17" s="1">
        <f t="shared" si="0"/>
        <v>0.16406178698548873</v>
      </c>
      <c r="F17" s="1">
        <f t="shared" si="1"/>
        <v>-3.1449376206670127E-2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觀光景點人數統計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a1021</dc:creator>
  <cp:lastModifiedBy>Yi-Xuan Xie</cp:lastModifiedBy>
  <dcterms:created xsi:type="dcterms:W3CDTF">2026-04-09T06:35:39Z</dcterms:created>
  <dcterms:modified xsi:type="dcterms:W3CDTF">2026-05-03T13:54:26Z</dcterms:modified>
</cp:coreProperties>
</file>